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8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ylex033/Desktop/"/>
    </mc:Choice>
  </mc:AlternateContent>
  <bookViews>
    <workbookView xWindow="0" yWindow="460" windowWidth="27320" windowHeight="13840" tabRatio="500" firstSheet="11" activeTab="13"/>
  </bookViews>
  <sheets>
    <sheet name="Part 1 - Qx" sheetId="1" r:id="rId1"/>
    <sheet name="Part 2 - ex" sheetId="2" r:id="rId2"/>
    <sheet name="Part 3 - lx" sheetId="4" r:id="rId3"/>
    <sheet name="Part 4 - Fractional Ages" sheetId="5" r:id="rId4"/>
    <sheet name="Submission 1 Grading Points" sheetId="6" r:id="rId5"/>
    <sheet name="Part 5 - Whole Life Insurance" sheetId="7" r:id="rId6"/>
    <sheet name="Part 6 - Term Life" sheetId="8" r:id="rId7"/>
    <sheet name="Part 7 - Pure Endowment" sheetId="9" r:id="rId8"/>
    <sheet name="Part 8 - Endowment" sheetId="10" r:id="rId9"/>
    <sheet name="Submission 2 Grading Points" sheetId="11" r:id="rId10"/>
    <sheet name="Part 9 - Whole Life Annuity" sheetId="12" r:id="rId11"/>
    <sheet name="Part 10 - Temporary Annuity" sheetId="13" r:id="rId12"/>
    <sheet name="Submission 3 Grading Points" sheetId="14" r:id="rId13"/>
    <sheet name="Part 11 - Whole Life Reserve" sheetId="15" r:id="rId14"/>
    <sheet name="Part 12 - Term Life Reserve" sheetId="16" r:id="rId15"/>
    <sheet name="Part 13 - Gross Reserves" sheetId="17" r:id="rId16"/>
    <sheet name="Submission 4 Grading Points" sheetId="18" r:id="rId17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3" i="18" l="1"/>
  <c r="C20" i="18"/>
  <c r="C32" i="18"/>
  <c r="C34" i="18"/>
  <c r="C10" i="14"/>
  <c r="C19" i="14"/>
  <c r="C23" i="14"/>
  <c r="C6" i="13"/>
  <c r="F6" i="13"/>
  <c r="F5" i="13"/>
  <c r="G5" i="13"/>
  <c r="G6" i="13"/>
  <c r="H6" i="13"/>
  <c r="C7" i="13"/>
  <c r="F7" i="13"/>
  <c r="G7" i="13"/>
  <c r="H7" i="13"/>
  <c r="C8" i="13"/>
  <c r="F8" i="13"/>
  <c r="G8" i="13"/>
  <c r="H8" i="13"/>
  <c r="C9" i="13"/>
  <c r="F9" i="13"/>
  <c r="G9" i="13"/>
  <c r="H9" i="13"/>
  <c r="C10" i="13"/>
  <c r="F10" i="13"/>
  <c r="G10" i="13"/>
  <c r="H10" i="13"/>
  <c r="C11" i="13"/>
  <c r="F11" i="13"/>
  <c r="G11" i="13"/>
  <c r="H11" i="13"/>
  <c r="C12" i="13"/>
  <c r="F12" i="13"/>
  <c r="G12" i="13"/>
  <c r="H12" i="13"/>
  <c r="C13" i="13"/>
  <c r="F13" i="13"/>
  <c r="G13" i="13"/>
  <c r="H13" i="13"/>
  <c r="C14" i="13"/>
  <c r="F14" i="13"/>
  <c r="G14" i="13"/>
  <c r="H14" i="13"/>
  <c r="C15" i="13"/>
  <c r="F15" i="13"/>
  <c r="G15" i="13"/>
  <c r="H15" i="13"/>
  <c r="C16" i="13"/>
  <c r="F16" i="13"/>
  <c r="G16" i="13"/>
  <c r="H16" i="13"/>
  <c r="C17" i="13"/>
  <c r="F17" i="13"/>
  <c r="G17" i="13"/>
  <c r="H17" i="13"/>
  <c r="C18" i="13"/>
  <c r="F18" i="13"/>
  <c r="G18" i="13"/>
  <c r="H18" i="13"/>
  <c r="C19" i="13"/>
  <c r="F19" i="13"/>
  <c r="G19" i="13"/>
  <c r="H19" i="13"/>
  <c r="C20" i="13"/>
  <c r="F20" i="13"/>
  <c r="G20" i="13"/>
  <c r="H20" i="13"/>
  <c r="C21" i="13"/>
  <c r="F21" i="13"/>
  <c r="G21" i="13"/>
  <c r="H21" i="13"/>
  <c r="C22" i="13"/>
  <c r="F22" i="13"/>
  <c r="G22" i="13"/>
  <c r="H22" i="13"/>
  <c r="C23" i="13"/>
  <c r="F23" i="13"/>
  <c r="G23" i="13"/>
  <c r="H23" i="13"/>
  <c r="C24" i="13"/>
  <c r="F24" i="13"/>
  <c r="G24" i="13"/>
  <c r="H24" i="13"/>
  <c r="C25" i="13"/>
  <c r="F25" i="13"/>
  <c r="G25" i="13"/>
  <c r="H25" i="13"/>
  <c r="C26" i="13"/>
  <c r="F26" i="13"/>
  <c r="G26" i="13"/>
  <c r="H26" i="13"/>
  <c r="C27" i="13"/>
  <c r="F27" i="13"/>
  <c r="G27" i="13"/>
  <c r="H27" i="13"/>
  <c r="C28" i="13"/>
  <c r="F28" i="13"/>
  <c r="G28" i="13"/>
  <c r="H28" i="13"/>
  <c r="C29" i="13"/>
  <c r="F29" i="13"/>
  <c r="G29" i="13"/>
  <c r="H29" i="13"/>
  <c r="C30" i="13"/>
  <c r="F30" i="13"/>
  <c r="G30" i="13"/>
  <c r="H30" i="13"/>
  <c r="C31" i="13"/>
  <c r="F31" i="13"/>
  <c r="G31" i="13"/>
  <c r="H31" i="13"/>
  <c r="C32" i="13"/>
  <c r="F32" i="13"/>
  <c r="G32" i="13"/>
  <c r="H32" i="13"/>
  <c r="C33" i="13"/>
  <c r="F33" i="13"/>
  <c r="G33" i="13"/>
  <c r="H33" i="13"/>
  <c r="C34" i="13"/>
  <c r="F34" i="13"/>
  <c r="G34" i="13"/>
  <c r="H34" i="13"/>
  <c r="C35" i="13"/>
  <c r="F35" i="13"/>
  <c r="G35" i="13"/>
  <c r="H35" i="13"/>
  <c r="C36" i="13"/>
  <c r="F36" i="13"/>
  <c r="G36" i="13"/>
  <c r="H36" i="13"/>
  <c r="C37" i="13"/>
  <c r="F37" i="13"/>
  <c r="G37" i="13"/>
  <c r="H37" i="13"/>
  <c r="C38" i="13"/>
  <c r="F38" i="13"/>
  <c r="G38" i="13"/>
  <c r="H38" i="13"/>
  <c r="C39" i="13"/>
  <c r="F39" i="13"/>
  <c r="G39" i="13"/>
  <c r="H39" i="13"/>
  <c r="C40" i="13"/>
  <c r="F40" i="13"/>
  <c r="G40" i="13"/>
  <c r="H40" i="13"/>
  <c r="C41" i="13"/>
  <c r="F41" i="13"/>
  <c r="G41" i="13"/>
  <c r="H41" i="13"/>
  <c r="C42" i="13"/>
  <c r="F42" i="13"/>
  <c r="G42" i="13"/>
  <c r="H42" i="13"/>
  <c r="C43" i="13"/>
  <c r="F43" i="13"/>
  <c r="G43" i="13"/>
  <c r="H43" i="13"/>
  <c r="C44" i="13"/>
  <c r="F44" i="13"/>
  <c r="G44" i="13"/>
  <c r="H44" i="13"/>
  <c r="C45" i="13"/>
  <c r="F45" i="13"/>
  <c r="G45" i="13"/>
  <c r="H45" i="13"/>
  <c r="C46" i="13"/>
  <c r="F46" i="13"/>
  <c r="G46" i="13"/>
  <c r="H46" i="13"/>
  <c r="C47" i="13"/>
  <c r="F47" i="13"/>
  <c r="G47" i="13"/>
  <c r="H47" i="13"/>
  <c r="C48" i="13"/>
  <c r="F48" i="13"/>
  <c r="G48" i="13"/>
  <c r="H48" i="13"/>
  <c r="C49" i="13"/>
  <c r="F49" i="13"/>
  <c r="G49" i="13"/>
  <c r="H49" i="13"/>
  <c r="C50" i="13"/>
  <c r="F50" i="13"/>
  <c r="G50" i="13"/>
  <c r="H50" i="13"/>
  <c r="C51" i="13"/>
  <c r="F51" i="13"/>
  <c r="G51" i="13"/>
  <c r="H51" i="13"/>
  <c r="C52" i="13"/>
  <c r="F52" i="13"/>
  <c r="G52" i="13"/>
  <c r="H52" i="13"/>
  <c r="C53" i="13"/>
  <c r="F53" i="13"/>
  <c r="G53" i="13"/>
  <c r="H53" i="13"/>
  <c r="C54" i="13"/>
  <c r="F54" i="13"/>
  <c r="G54" i="13"/>
  <c r="H54" i="13"/>
  <c r="C55" i="13"/>
  <c r="F55" i="13"/>
  <c r="G55" i="13"/>
  <c r="H55" i="13"/>
  <c r="C56" i="13"/>
  <c r="F56" i="13"/>
  <c r="G56" i="13"/>
  <c r="H56" i="13"/>
  <c r="C57" i="13"/>
  <c r="F57" i="13"/>
  <c r="G57" i="13"/>
  <c r="H57" i="13"/>
  <c r="C58" i="13"/>
  <c r="F58" i="13"/>
  <c r="G58" i="13"/>
  <c r="H58" i="13"/>
  <c r="C59" i="13"/>
  <c r="F59" i="13"/>
  <c r="G59" i="13"/>
  <c r="H59" i="13"/>
  <c r="C60" i="13"/>
  <c r="F60" i="13"/>
  <c r="G60" i="13"/>
  <c r="H60" i="13"/>
  <c r="C61" i="13"/>
  <c r="F61" i="13"/>
  <c r="G61" i="13"/>
  <c r="H61" i="13"/>
  <c r="C62" i="13"/>
  <c r="F62" i="13"/>
  <c r="G62" i="13"/>
  <c r="H62" i="13"/>
  <c r="C63" i="13"/>
  <c r="F63" i="13"/>
  <c r="G63" i="13"/>
  <c r="H63" i="13"/>
  <c r="C64" i="13"/>
  <c r="F64" i="13"/>
  <c r="G64" i="13"/>
  <c r="H64" i="13"/>
  <c r="C65" i="13"/>
  <c r="F65" i="13"/>
  <c r="G65" i="13"/>
  <c r="H65" i="13"/>
  <c r="C66" i="13"/>
  <c r="F66" i="13"/>
  <c r="G66" i="13"/>
  <c r="H66" i="13"/>
  <c r="C67" i="13"/>
  <c r="F67" i="13"/>
  <c r="G67" i="13"/>
  <c r="H67" i="13"/>
  <c r="C68" i="13"/>
  <c r="F68" i="13"/>
  <c r="G68" i="13"/>
  <c r="H68" i="13"/>
  <c r="C69" i="13"/>
  <c r="F69" i="13"/>
  <c r="G69" i="13"/>
  <c r="H69" i="13"/>
  <c r="C70" i="13"/>
  <c r="F70" i="13"/>
  <c r="G70" i="13"/>
  <c r="H70" i="13"/>
  <c r="C71" i="13"/>
  <c r="F71" i="13"/>
  <c r="G71" i="13"/>
  <c r="H71" i="13"/>
  <c r="C72" i="13"/>
  <c r="F72" i="13"/>
  <c r="G72" i="13"/>
  <c r="H72" i="13"/>
  <c r="C73" i="13"/>
  <c r="F73" i="13"/>
  <c r="G73" i="13"/>
  <c r="H73" i="13"/>
  <c r="C74" i="13"/>
  <c r="F74" i="13"/>
  <c r="G74" i="13"/>
  <c r="H74" i="13"/>
  <c r="C75" i="13"/>
  <c r="F75" i="13"/>
  <c r="G75" i="13"/>
  <c r="H75" i="13"/>
  <c r="C76" i="13"/>
  <c r="F76" i="13"/>
  <c r="G76" i="13"/>
  <c r="H76" i="13"/>
  <c r="C77" i="13"/>
  <c r="F77" i="13"/>
  <c r="G77" i="13"/>
  <c r="H77" i="13"/>
  <c r="C78" i="13"/>
  <c r="F78" i="13"/>
  <c r="G78" i="13"/>
  <c r="H78" i="13"/>
  <c r="C79" i="13"/>
  <c r="F79" i="13"/>
  <c r="G79" i="13"/>
  <c r="H79" i="13"/>
  <c r="C80" i="13"/>
  <c r="F80" i="13"/>
  <c r="G80" i="13"/>
  <c r="H80" i="13"/>
  <c r="C81" i="13"/>
  <c r="F81" i="13"/>
  <c r="G81" i="13"/>
  <c r="H81" i="13"/>
  <c r="C82" i="13"/>
  <c r="F82" i="13"/>
  <c r="G82" i="13"/>
  <c r="H82" i="13"/>
  <c r="C83" i="13"/>
  <c r="F83" i="13"/>
  <c r="G83" i="13"/>
  <c r="H83" i="13"/>
  <c r="C84" i="13"/>
  <c r="F84" i="13"/>
  <c r="G84" i="13"/>
  <c r="H84" i="13"/>
  <c r="C85" i="13"/>
  <c r="F85" i="13"/>
  <c r="G85" i="13"/>
  <c r="H85" i="13"/>
  <c r="C86" i="13"/>
  <c r="F86" i="13"/>
  <c r="G86" i="13"/>
  <c r="H86" i="13"/>
  <c r="C87" i="13"/>
  <c r="F87" i="13"/>
  <c r="G87" i="13"/>
  <c r="H87" i="13"/>
  <c r="C88" i="13"/>
  <c r="F88" i="13"/>
  <c r="G88" i="13"/>
  <c r="H88" i="13"/>
  <c r="C89" i="13"/>
  <c r="F89" i="13"/>
  <c r="G89" i="13"/>
  <c r="H89" i="13"/>
  <c r="C90" i="13"/>
  <c r="F90" i="13"/>
  <c r="G90" i="13"/>
  <c r="H90" i="13"/>
  <c r="C91" i="13"/>
  <c r="F91" i="13"/>
  <c r="G91" i="13"/>
  <c r="H91" i="13"/>
  <c r="C92" i="13"/>
  <c r="F92" i="13"/>
  <c r="G92" i="13"/>
  <c r="H92" i="13"/>
  <c r="C93" i="13"/>
  <c r="F93" i="13"/>
  <c r="G93" i="13"/>
  <c r="H93" i="13"/>
  <c r="C94" i="13"/>
  <c r="F94" i="13"/>
  <c r="G94" i="13"/>
  <c r="H94" i="13"/>
  <c r="C95" i="13"/>
  <c r="F95" i="13"/>
  <c r="G95" i="13"/>
  <c r="H95" i="13"/>
  <c r="C5" i="13"/>
  <c r="H5" i="13"/>
  <c r="C6" i="12"/>
  <c r="F6" i="12"/>
  <c r="F5" i="12"/>
  <c r="G5" i="12"/>
  <c r="G6" i="12"/>
  <c r="H6" i="12"/>
  <c r="C7" i="12"/>
  <c r="F7" i="12"/>
  <c r="G7" i="12"/>
  <c r="H7" i="12"/>
  <c r="C8" i="12"/>
  <c r="F8" i="12"/>
  <c r="G8" i="12"/>
  <c r="H8" i="12"/>
  <c r="C9" i="12"/>
  <c r="F9" i="12"/>
  <c r="G9" i="12"/>
  <c r="H9" i="12"/>
  <c r="C10" i="12"/>
  <c r="F10" i="12"/>
  <c r="G10" i="12"/>
  <c r="H10" i="12"/>
  <c r="C11" i="12"/>
  <c r="F11" i="12"/>
  <c r="G11" i="12"/>
  <c r="H11" i="12"/>
  <c r="C12" i="12"/>
  <c r="F12" i="12"/>
  <c r="G12" i="12"/>
  <c r="H12" i="12"/>
  <c r="C13" i="12"/>
  <c r="F13" i="12"/>
  <c r="G13" i="12"/>
  <c r="H13" i="12"/>
  <c r="C14" i="12"/>
  <c r="F14" i="12"/>
  <c r="G14" i="12"/>
  <c r="H14" i="12"/>
  <c r="C15" i="12"/>
  <c r="F15" i="12"/>
  <c r="G15" i="12"/>
  <c r="H15" i="12"/>
  <c r="C16" i="12"/>
  <c r="F16" i="12"/>
  <c r="G16" i="12"/>
  <c r="H16" i="12"/>
  <c r="C17" i="12"/>
  <c r="F17" i="12"/>
  <c r="G17" i="12"/>
  <c r="H17" i="12"/>
  <c r="C18" i="12"/>
  <c r="F18" i="12"/>
  <c r="G18" i="12"/>
  <c r="H18" i="12"/>
  <c r="C19" i="12"/>
  <c r="F19" i="12"/>
  <c r="G19" i="12"/>
  <c r="H19" i="12"/>
  <c r="C20" i="12"/>
  <c r="F20" i="12"/>
  <c r="G20" i="12"/>
  <c r="H20" i="12"/>
  <c r="C21" i="12"/>
  <c r="F21" i="12"/>
  <c r="G21" i="12"/>
  <c r="H21" i="12"/>
  <c r="C22" i="12"/>
  <c r="F22" i="12"/>
  <c r="G22" i="12"/>
  <c r="H22" i="12"/>
  <c r="C23" i="12"/>
  <c r="F23" i="12"/>
  <c r="G23" i="12"/>
  <c r="H23" i="12"/>
  <c r="C24" i="12"/>
  <c r="F24" i="12"/>
  <c r="G24" i="12"/>
  <c r="H24" i="12"/>
  <c r="C25" i="12"/>
  <c r="F25" i="12"/>
  <c r="G25" i="12"/>
  <c r="H25" i="12"/>
  <c r="C26" i="12"/>
  <c r="F26" i="12"/>
  <c r="G26" i="12"/>
  <c r="H26" i="12"/>
  <c r="C27" i="12"/>
  <c r="F27" i="12"/>
  <c r="G27" i="12"/>
  <c r="H27" i="12"/>
  <c r="C28" i="12"/>
  <c r="F28" i="12"/>
  <c r="G28" i="12"/>
  <c r="H28" i="12"/>
  <c r="C29" i="12"/>
  <c r="F29" i="12"/>
  <c r="G29" i="12"/>
  <c r="H29" i="12"/>
  <c r="C30" i="12"/>
  <c r="F30" i="12"/>
  <c r="G30" i="12"/>
  <c r="H30" i="12"/>
  <c r="C31" i="12"/>
  <c r="F31" i="12"/>
  <c r="G31" i="12"/>
  <c r="H31" i="12"/>
  <c r="C32" i="12"/>
  <c r="F32" i="12"/>
  <c r="G32" i="12"/>
  <c r="H32" i="12"/>
  <c r="C33" i="12"/>
  <c r="F33" i="12"/>
  <c r="G33" i="12"/>
  <c r="H33" i="12"/>
  <c r="C34" i="12"/>
  <c r="F34" i="12"/>
  <c r="G34" i="12"/>
  <c r="H34" i="12"/>
  <c r="C35" i="12"/>
  <c r="F35" i="12"/>
  <c r="G35" i="12"/>
  <c r="H35" i="12"/>
  <c r="C36" i="12"/>
  <c r="F36" i="12"/>
  <c r="G36" i="12"/>
  <c r="H36" i="12"/>
  <c r="C37" i="12"/>
  <c r="F37" i="12"/>
  <c r="G37" i="12"/>
  <c r="H37" i="12"/>
  <c r="C38" i="12"/>
  <c r="F38" i="12"/>
  <c r="G38" i="12"/>
  <c r="H38" i="12"/>
  <c r="C39" i="12"/>
  <c r="F39" i="12"/>
  <c r="G39" i="12"/>
  <c r="H39" i="12"/>
  <c r="C40" i="12"/>
  <c r="F40" i="12"/>
  <c r="G40" i="12"/>
  <c r="H40" i="12"/>
  <c r="C41" i="12"/>
  <c r="F41" i="12"/>
  <c r="G41" i="12"/>
  <c r="H41" i="12"/>
  <c r="C42" i="12"/>
  <c r="F42" i="12"/>
  <c r="G42" i="12"/>
  <c r="H42" i="12"/>
  <c r="C43" i="12"/>
  <c r="F43" i="12"/>
  <c r="G43" i="12"/>
  <c r="H43" i="12"/>
  <c r="C44" i="12"/>
  <c r="F44" i="12"/>
  <c r="G44" i="12"/>
  <c r="H44" i="12"/>
  <c r="C45" i="12"/>
  <c r="F45" i="12"/>
  <c r="G45" i="12"/>
  <c r="H45" i="12"/>
  <c r="C46" i="12"/>
  <c r="F46" i="12"/>
  <c r="G46" i="12"/>
  <c r="H46" i="12"/>
  <c r="C47" i="12"/>
  <c r="F47" i="12"/>
  <c r="G47" i="12"/>
  <c r="H47" i="12"/>
  <c r="C48" i="12"/>
  <c r="F48" i="12"/>
  <c r="G48" i="12"/>
  <c r="H48" i="12"/>
  <c r="C49" i="12"/>
  <c r="F49" i="12"/>
  <c r="G49" i="12"/>
  <c r="H49" i="12"/>
  <c r="C50" i="12"/>
  <c r="F50" i="12"/>
  <c r="G50" i="12"/>
  <c r="H50" i="12"/>
  <c r="C51" i="12"/>
  <c r="F51" i="12"/>
  <c r="G51" i="12"/>
  <c r="H51" i="12"/>
  <c r="C52" i="12"/>
  <c r="F52" i="12"/>
  <c r="G52" i="12"/>
  <c r="H52" i="12"/>
  <c r="C53" i="12"/>
  <c r="F53" i="12"/>
  <c r="G53" i="12"/>
  <c r="H53" i="12"/>
  <c r="C54" i="12"/>
  <c r="F54" i="12"/>
  <c r="G54" i="12"/>
  <c r="H54" i="12"/>
  <c r="C55" i="12"/>
  <c r="F55" i="12"/>
  <c r="G55" i="12"/>
  <c r="H55" i="12"/>
  <c r="C56" i="12"/>
  <c r="F56" i="12"/>
  <c r="G56" i="12"/>
  <c r="H56" i="12"/>
  <c r="C57" i="12"/>
  <c r="F57" i="12"/>
  <c r="G57" i="12"/>
  <c r="H57" i="12"/>
  <c r="C58" i="12"/>
  <c r="F58" i="12"/>
  <c r="G58" i="12"/>
  <c r="H58" i="12"/>
  <c r="C59" i="12"/>
  <c r="F59" i="12"/>
  <c r="G59" i="12"/>
  <c r="H59" i="12"/>
  <c r="C60" i="12"/>
  <c r="F60" i="12"/>
  <c r="G60" i="12"/>
  <c r="H60" i="12"/>
  <c r="C61" i="12"/>
  <c r="F61" i="12"/>
  <c r="G61" i="12"/>
  <c r="H61" i="12"/>
  <c r="C62" i="12"/>
  <c r="F62" i="12"/>
  <c r="G62" i="12"/>
  <c r="H62" i="12"/>
  <c r="C63" i="12"/>
  <c r="F63" i="12"/>
  <c r="G63" i="12"/>
  <c r="H63" i="12"/>
  <c r="C64" i="12"/>
  <c r="F64" i="12"/>
  <c r="G64" i="12"/>
  <c r="H64" i="12"/>
  <c r="C65" i="12"/>
  <c r="F65" i="12"/>
  <c r="G65" i="12"/>
  <c r="H65" i="12"/>
  <c r="C66" i="12"/>
  <c r="F66" i="12"/>
  <c r="G66" i="12"/>
  <c r="H66" i="12"/>
  <c r="C67" i="12"/>
  <c r="F67" i="12"/>
  <c r="G67" i="12"/>
  <c r="H67" i="12"/>
  <c r="C68" i="12"/>
  <c r="F68" i="12"/>
  <c r="G68" i="12"/>
  <c r="H68" i="12"/>
  <c r="C69" i="12"/>
  <c r="F69" i="12"/>
  <c r="G69" i="12"/>
  <c r="H69" i="12"/>
  <c r="C70" i="12"/>
  <c r="F70" i="12"/>
  <c r="G70" i="12"/>
  <c r="H70" i="12"/>
  <c r="C71" i="12"/>
  <c r="F71" i="12"/>
  <c r="G71" i="12"/>
  <c r="H71" i="12"/>
  <c r="C72" i="12"/>
  <c r="F72" i="12"/>
  <c r="G72" i="12"/>
  <c r="H72" i="12"/>
  <c r="C73" i="12"/>
  <c r="F73" i="12"/>
  <c r="G73" i="12"/>
  <c r="H73" i="12"/>
  <c r="C74" i="12"/>
  <c r="F74" i="12"/>
  <c r="G74" i="12"/>
  <c r="H74" i="12"/>
  <c r="C75" i="12"/>
  <c r="F75" i="12"/>
  <c r="G75" i="12"/>
  <c r="H75" i="12"/>
  <c r="C76" i="12"/>
  <c r="F76" i="12"/>
  <c r="G76" i="12"/>
  <c r="H76" i="12"/>
  <c r="C77" i="12"/>
  <c r="F77" i="12"/>
  <c r="G77" i="12"/>
  <c r="H77" i="12"/>
  <c r="C78" i="12"/>
  <c r="F78" i="12"/>
  <c r="G78" i="12"/>
  <c r="H78" i="12"/>
  <c r="C79" i="12"/>
  <c r="F79" i="12"/>
  <c r="G79" i="12"/>
  <c r="H79" i="12"/>
  <c r="C80" i="12"/>
  <c r="F80" i="12"/>
  <c r="G80" i="12"/>
  <c r="H80" i="12"/>
  <c r="C81" i="12"/>
  <c r="F81" i="12"/>
  <c r="G81" i="12"/>
  <c r="H81" i="12"/>
  <c r="C82" i="12"/>
  <c r="F82" i="12"/>
  <c r="G82" i="12"/>
  <c r="H82" i="12"/>
  <c r="C83" i="12"/>
  <c r="F83" i="12"/>
  <c r="G83" i="12"/>
  <c r="H83" i="12"/>
  <c r="C84" i="12"/>
  <c r="F84" i="12"/>
  <c r="G84" i="12"/>
  <c r="H84" i="12"/>
  <c r="C85" i="12"/>
  <c r="F85" i="12"/>
  <c r="G85" i="12"/>
  <c r="H85" i="12"/>
  <c r="C86" i="12"/>
  <c r="F86" i="12"/>
  <c r="G86" i="12"/>
  <c r="H86" i="12"/>
  <c r="C87" i="12"/>
  <c r="F87" i="12"/>
  <c r="G87" i="12"/>
  <c r="H87" i="12"/>
  <c r="C88" i="12"/>
  <c r="F88" i="12"/>
  <c r="G88" i="12"/>
  <c r="H88" i="12"/>
  <c r="C89" i="12"/>
  <c r="F89" i="12"/>
  <c r="G89" i="12"/>
  <c r="H89" i="12"/>
  <c r="C90" i="12"/>
  <c r="F90" i="12"/>
  <c r="G90" i="12"/>
  <c r="H90" i="12"/>
  <c r="C91" i="12"/>
  <c r="F91" i="12"/>
  <c r="G91" i="12"/>
  <c r="H91" i="12"/>
  <c r="C92" i="12"/>
  <c r="F92" i="12"/>
  <c r="G92" i="12"/>
  <c r="H92" i="12"/>
  <c r="C93" i="12"/>
  <c r="F93" i="12"/>
  <c r="G93" i="12"/>
  <c r="H93" i="12"/>
  <c r="C94" i="12"/>
  <c r="F94" i="12"/>
  <c r="G94" i="12"/>
  <c r="H94" i="12"/>
  <c r="C95" i="12"/>
  <c r="F95" i="12"/>
  <c r="G95" i="12"/>
  <c r="H95" i="12"/>
  <c r="C5" i="12"/>
  <c r="H5" i="12"/>
  <c r="R5" i="12"/>
  <c r="R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J5" i="13"/>
  <c r="K5" i="13"/>
  <c r="L5" i="13"/>
  <c r="N5" i="13"/>
  <c r="J6" i="13"/>
  <c r="K6" i="13"/>
  <c r="L6" i="13"/>
  <c r="N6" i="13"/>
  <c r="J7" i="13"/>
  <c r="K7" i="13"/>
  <c r="L7" i="13"/>
  <c r="N7" i="13"/>
  <c r="J8" i="13"/>
  <c r="K8" i="13"/>
  <c r="L8" i="13"/>
  <c r="N8" i="13"/>
  <c r="J9" i="13"/>
  <c r="K9" i="13"/>
  <c r="L9" i="13"/>
  <c r="N9" i="13"/>
  <c r="J10" i="13"/>
  <c r="K10" i="13"/>
  <c r="L10" i="13"/>
  <c r="N10" i="13"/>
  <c r="J11" i="13"/>
  <c r="K11" i="13"/>
  <c r="L11" i="13"/>
  <c r="N11" i="13"/>
  <c r="J12" i="13"/>
  <c r="K12" i="13"/>
  <c r="L12" i="13"/>
  <c r="N12" i="13"/>
  <c r="J13" i="13"/>
  <c r="K13" i="13"/>
  <c r="L13" i="13"/>
  <c r="N13" i="13"/>
  <c r="J14" i="13"/>
  <c r="K14" i="13"/>
  <c r="L14" i="13"/>
  <c r="N14" i="13"/>
  <c r="J15" i="13"/>
  <c r="K15" i="13"/>
  <c r="L15" i="13"/>
  <c r="N15" i="13"/>
  <c r="J16" i="13"/>
  <c r="K16" i="13"/>
  <c r="L16" i="13"/>
  <c r="N16" i="13"/>
  <c r="J17" i="13"/>
  <c r="K17" i="13"/>
  <c r="L17" i="13"/>
  <c r="N17" i="13"/>
  <c r="J18" i="13"/>
  <c r="K18" i="13"/>
  <c r="L18" i="13"/>
  <c r="N18" i="13"/>
  <c r="J19" i="13"/>
  <c r="K19" i="13"/>
  <c r="L19" i="13"/>
  <c r="N19" i="13"/>
  <c r="J20" i="13"/>
  <c r="K20" i="13"/>
  <c r="L20" i="13"/>
  <c r="N20" i="13"/>
  <c r="J21" i="13"/>
  <c r="K21" i="13"/>
  <c r="L21" i="13"/>
  <c r="N21" i="13"/>
  <c r="J22" i="13"/>
  <c r="K22" i="13"/>
  <c r="L22" i="13"/>
  <c r="N22" i="13"/>
  <c r="J23" i="13"/>
  <c r="K23" i="13"/>
  <c r="L23" i="13"/>
  <c r="N23" i="13"/>
  <c r="J24" i="13"/>
  <c r="K24" i="13"/>
  <c r="L24" i="13"/>
  <c r="N24" i="13"/>
  <c r="Z10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Z9" i="13"/>
  <c r="J5" i="12"/>
  <c r="L5" i="12"/>
  <c r="M5" i="12"/>
  <c r="J6" i="12"/>
  <c r="L6" i="12"/>
  <c r="M6" i="12"/>
  <c r="J7" i="12"/>
  <c r="L7" i="12"/>
  <c r="M7" i="12"/>
  <c r="J8" i="12"/>
  <c r="L8" i="12"/>
  <c r="M8" i="12"/>
  <c r="J9" i="12"/>
  <c r="L9" i="12"/>
  <c r="M9" i="12"/>
  <c r="J10" i="12"/>
  <c r="L10" i="12"/>
  <c r="M10" i="12"/>
  <c r="J11" i="12"/>
  <c r="L11" i="12"/>
  <c r="M11" i="12"/>
  <c r="J12" i="12"/>
  <c r="L12" i="12"/>
  <c r="M12" i="12"/>
  <c r="J13" i="12"/>
  <c r="L13" i="12"/>
  <c r="M13" i="12"/>
  <c r="J14" i="12"/>
  <c r="L14" i="12"/>
  <c r="M14" i="12"/>
  <c r="J15" i="12"/>
  <c r="L15" i="12"/>
  <c r="M15" i="12"/>
  <c r="J16" i="12"/>
  <c r="L16" i="12"/>
  <c r="M16" i="12"/>
  <c r="J17" i="12"/>
  <c r="L17" i="12"/>
  <c r="M17" i="12"/>
  <c r="J18" i="12"/>
  <c r="L18" i="12"/>
  <c r="M18" i="12"/>
  <c r="J19" i="12"/>
  <c r="L19" i="12"/>
  <c r="M19" i="12"/>
  <c r="J20" i="12"/>
  <c r="L20" i="12"/>
  <c r="M20" i="12"/>
  <c r="J21" i="12"/>
  <c r="L21" i="12"/>
  <c r="M21" i="12"/>
  <c r="J22" i="12"/>
  <c r="L22" i="12"/>
  <c r="M22" i="12"/>
  <c r="J23" i="12"/>
  <c r="L23" i="12"/>
  <c r="M23" i="12"/>
  <c r="J24" i="12"/>
  <c r="L24" i="12"/>
  <c r="M24" i="12"/>
  <c r="J25" i="12"/>
  <c r="L25" i="12"/>
  <c r="M25" i="12"/>
  <c r="J26" i="12"/>
  <c r="L26" i="12"/>
  <c r="M26" i="12"/>
  <c r="J27" i="12"/>
  <c r="L27" i="12"/>
  <c r="M27" i="12"/>
  <c r="J28" i="12"/>
  <c r="L28" i="12"/>
  <c r="M28" i="12"/>
  <c r="J29" i="12"/>
  <c r="L29" i="12"/>
  <c r="M29" i="12"/>
  <c r="J30" i="12"/>
  <c r="L30" i="12"/>
  <c r="M30" i="12"/>
  <c r="J31" i="12"/>
  <c r="L31" i="12"/>
  <c r="M31" i="12"/>
  <c r="J32" i="12"/>
  <c r="L32" i="12"/>
  <c r="M32" i="12"/>
  <c r="J33" i="12"/>
  <c r="L33" i="12"/>
  <c r="M33" i="12"/>
  <c r="J34" i="12"/>
  <c r="L34" i="12"/>
  <c r="M34" i="12"/>
  <c r="J35" i="12"/>
  <c r="L35" i="12"/>
  <c r="M35" i="12"/>
  <c r="J36" i="12"/>
  <c r="L36" i="12"/>
  <c r="M36" i="12"/>
  <c r="J37" i="12"/>
  <c r="L37" i="12"/>
  <c r="M37" i="12"/>
  <c r="J38" i="12"/>
  <c r="L38" i="12"/>
  <c r="M38" i="12"/>
  <c r="J39" i="12"/>
  <c r="L39" i="12"/>
  <c r="M39" i="12"/>
  <c r="J40" i="12"/>
  <c r="L40" i="12"/>
  <c r="M40" i="12"/>
  <c r="J41" i="12"/>
  <c r="L41" i="12"/>
  <c r="M41" i="12"/>
  <c r="J42" i="12"/>
  <c r="L42" i="12"/>
  <c r="M42" i="12"/>
  <c r="J43" i="12"/>
  <c r="L43" i="12"/>
  <c r="M43" i="12"/>
  <c r="J44" i="12"/>
  <c r="L44" i="12"/>
  <c r="M44" i="12"/>
  <c r="J45" i="12"/>
  <c r="L45" i="12"/>
  <c r="M45" i="12"/>
  <c r="J46" i="12"/>
  <c r="L46" i="12"/>
  <c r="M46" i="12"/>
  <c r="J47" i="12"/>
  <c r="L47" i="12"/>
  <c r="M47" i="12"/>
  <c r="J48" i="12"/>
  <c r="L48" i="12"/>
  <c r="M48" i="12"/>
  <c r="J49" i="12"/>
  <c r="L49" i="12"/>
  <c r="M49" i="12"/>
  <c r="J50" i="12"/>
  <c r="L50" i="12"/>
  <c r="M50" i="12"/>
  <c r="J51" i="12"/>
  <c r="L51" i="12"/>
  <c r="M51" i="12"/>
  <c r="J52" i="12"/>
  <c r="L52" i="12"/>
  <c r="M52" i="12"/>
  <c r="J53" i="12"/>
  <c r="L53" i="12"/>
  <c r="M53" i="12"/>
  <c r="J54" i="12"/>
  <c r="L54" i="12"/>
  <c r="M54" i="12"/>
  <c r="J55" i="12"/>
  <c r="L55" i="12"/>
  <c r="M55" i="12"/>
  <c r="J56" i="12"/>
  <c r="L56" i="12"/>
  <c r="M56" i="12"/>
  <c r="J57" i="12"/>
  <c r="L57" i="12"/>
  <c r="M57" i="12"/>
  <c r="J58" i="12"/>
  <c r="L58" i="12"/>
  <c r="M58" i="12"/>
  <c r="J59" i="12"/>
  <c r="L59" i="12"/>
  <c r="M59" i="12"/>
  <c r="J60" i="12"/>
  <c r="L60" i="12"/>
  <c r="M60" i="12"/>
  <c r="J61" i="12"/>
  <c r="L61" i="12"/>
  <c r="M61" i="12"/>
  <c r="J62" i="12"/>
  <c r="L62" i="12"/>
  <c r="M62" i="12"/>
  <c r="J63" i="12"/>
  <c r="L63" i="12"/>
  <c r="M63" i="12"/>
  <c r="J64" i="12"/>
  <c r="L64" i="12"/>
  <c r="M64" i="12"/>
  <c r="J65" i="12"/>
  <c r="L65" i="12"/>
  <c r="M65" i="12"/>
  <c r="J66" i="12"/>
  <c r="L66" i="12"/>
  <c r="M66" i="12"/>
  <c r="J67" i="12"/>
  <c r="L67" i="12"/>
  <c r="M67" i="12"/>
  <c r="J68" i="12"/>
  <c r="L68" i="12"/>
  <c r="M68" i="12"/>
  <c r="J69" i="12"/>
  <c r="L69" i="12"/>
  <c r="M69" i="12"/>
  <c r="J70" i="12"/>
  <c r="L70" i="12"/>
  <c r="M70" i="12"/>
  <c r="J71" i="12"/>
  <c r="L71" i="12"/>
  <c r="M71" i="12"/>
  <c r="J72" i="12"/>
  <c r="L72" i="12"/>
  <c r="M72" i="12"/>
  <c r="J73" i="12"/>
  <c r="L73" i="12"/>
  <c r="M73" i="12"/>
  <c r="J74" i="12"/>
  <c r="L74" i="12"/>
  <c r="M74" i="12"/>
  <c r="J75" i="12"/>
  <c r="L75" i="12"/>
  <c r="M75" i="12"/>
  <c r="J76" i="12"/>
  <c r="L76" i="12"/>
  <c r="M76" i="12"/>
  <c r="J77" i="12"/>
  <c r="L77" i="12"/>
  <c r="M77" i="12"/>
  <c r="J78" i="12"/>
  <c r="L78" i="12"/>
  <c r="M78" i="12"/>
  <c r="J79" i="12"/>
  <c r="L79" i="12"/>
  <c r="M79" i="12"/>
  <c r="J80" i="12"/>
  <c r="L80" i="12"/>
  <c r="M80" i="12"/>
  <c r="J81" i="12"/>
  <c r="L81" i="12"/>
  <c r="M81" i="12"/>
  <c r="J82" i="12"/>
  <c r="L82" i="12"/>
  <c r="M82" i="12"/>
  <c r="J83" i="12"/>
  <c r="L83" i="12"/>
  <c r="M83" i="12"/>
  <c r="J84" i="12"/>
  <c r="L84" i="12"/>
  <c r="M84" i="12"/>
  <c r="J85" i="12"/>
  <c r="L85" i="12"/>
  <c r="M85" i="12"/>
  <c r="J86" i="12"/>
  <c r="L86" i="12"/>
  <c r="M86" i="12"/>
  <c r="J87" i="12"/>
  <c r="L87" i="12"/>
  <c r="M87" i="12"/>
  <c r="J88" i="12"/>
  <c r="L88" i="12"/>
  <c r="M88" i="12"/>
  <c r="J89" i="12"/>
  <c r="L89" i="12"/>
  <c r="M89" i="12"/>
  <c r="J90" i="12"/>
  <c r="L90" i="12"/>
  <c r="M90" i="12"/>
  <c r="J91" i="12"/>
  <c r="L91" i="12"/>
  <c r="M91" i="12"/>
  <c r="J92" i="12"/>
  <c r="L92" i="12"/>
  <c r="M92" i="12"/>
  <c r="J93" i="12"/>
  <c r="L93" i="12"/>
  <c r="M93" i="12"/>
  <c r="J94" i="12"/>
  <c r="L94" i="12"/>
  <c r="M94" i="12"/>
  <c r="J95" i="12"/>
  <c r="L95" i="12"/>
  <c r="M95" i="12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S42" i="12"/>
  <c r="S43" i="12"/>
  <c r="S44" i="12"/>
  <c r="S45" i="12"/>
  <c r="S46" i="12"/>
  <c r="S47" i="12"/>
  <c r="S48" i="12"/>
  <c r="S49" i="12"/>
  <c r="S50" i="12"/>
  <c r="S51" i="12"/>
  <c r="S52" i="12"/>
  <c r="S53" i="12"/>
  <c r="S54" i="12"/>
  <c r="S55" i="12"/>
  <c r="S56" i="12"/>
  <c r="S57" i="12"/>
  <c r="S58" i="12"/>
  <c r="S59" i="12"/>
  <c r="S60" i="12"/>
  <c r="S61" i="12"/>
  <c r="S62" i="12"/>
  <c r="S63" i="12"/>
  <c r="S64" i="12"/>
  <c r="S65" i="12"/>
  <c r="S66" i="12"/>
  <c r="S67" i="12"/>
  <c r="S68" i="12"/>
  <c r="S69" i="12"/>
  <c r="S70" i="12"/>
  <c r="S71" i="12"/>
  <c r="S72" i="12"/>
  <c r="S73" i="12"/>
  <c r="S74" i="12"/>
  <c r="S75" i="12"/>
  <c r="S76" i="12"/>
  <c r="S77" i="12"/>
  <c r="S78" i="12"/>
  <c r="S79" i="12"/>
  <c r="S80" i="12"/>
  <c r="S81" i="12"/>
  <c r="S82" i="12"/>
  <c r="S83" i="12"/>
  <c r="S84" i="12"/>
  <c r="S85" i="12"/>
  <c r="S86" i="12"/>
  <c r="S87" i="12"/>
  <c r="S88" i="12"/>
  <c r="S89" i="12"/>
  <c r="S90" i="12"/>
  <c r="S91" i="12"/>
  <c r="S92" i="12"/>
  <c r="S93" i="12"/>
  <c r="S94" i="12"/>
  <c r="S95" i="12"/>
  <c r="S5" i="13"/>
  <c r="R5" i="13"/>
  <c r="J95" i="13"/>
  <c r="K95" i="13"/>
  <c r="L95" i="13"/>
  <c r="N95" i="13"/>
  <c r="M95" i="13"/>
  <c r="D95" i="13"/>
  <c r="J94" i="13"/>
  <c r="K94" i="13"/>
  <c r="L94" i="13"/>
  <c r="N94" i="13"/>
  <c r="M94" i="13"/>
  <c r="D94" i="13"/>
  <c r="J93" i="13"/>
  <c r="K93" i="13"/>
  <c r="L93" i="13"/>
  <c r="N93" i="13"/>
  <c r="M93" i="13"/>
  <c r="D93" i="13"/>
  <c r="J92" i="13"/>
  <c r="K92" i="13"/>
  <c r="L92" i="13"/>
  <c r="N92" i="13"/>
  <c r="M92" i="13"/>
  <c r="D92" i="13"/>
  <c r="J91" i="13"/>
  <c r="K91" i="13"/>
  <c r="L91" i="13"/>
  <c r="N91" i="13"/>
  <c r="M91" i="13"/>
  <c r="D91" i="13"/>
  <c r="J90" i="13"/>
  <c r="K90" i="13"/>
  <c r="L90" i="13"/>
  <c r="N90" i="13"/>
  <c r="M90" i="13"/>
  <c r="D90" i="13"/>
  <c r="J89" i="13"/>
  <c r="K89" i="13"/>
  <c r="L89" i="13"/>
  <c r="N89" i="13"/>
  <c r="M89" i="13"/>
  <c r="D89" i="13"/>
  <c r="J88" i="13"/>
  <c r="K88" i="13"/>
  <c r="L88" i="13"/>
  <c r="N88" i="13"/>
  <c r="M88" i="13"/>
  <c r="D88" i="13"/>
  <c r="J87" i="13"/>
  <c r="K87" i="13"/>
  <c r="L87" i="13"/>
  <c r="N87" i="13"/>
  <c r="M87" i="13"/>
  <c r="D87" i="13"/>
  <c r="J86" i="13"/>
  <c r="K86" i="13"/>
  <c r="L86" i="13"/>
  <c r="N86" i="13"/>
  <c r="M86" i="13"/>
  <c r="D86" i="13"/>
  <c r="J85" i="13"/>
  <c r="K85" i="13"/>
  <c r="L85" i="13"/>
  <c r="N85" i="13"/>
  <c r="M85" i="13"/>
  <c r="D85" i="13"/>
  <c r="J84" i="13"/>
  <c r="K84" i="13"/>
  <c r="L84" i="13"/>
  <c r="N84" i="13"/>
  <c r="M84" i="13"/>
  <c r="D84" i="13"/>
  <c r="J83" i="13"/>
  <c r="K83" i="13"/>
  <c r="L83" i="13"/>
  <c r="N83" i="13"/>
  <c r="M83" i="13"/>
  <c r="D83" i="13"/>
  <c r="J82" i="13"/>
  <c r="K82" i="13"/>
  <c r="L82" i="13"/>
  <c r="N82" i="13"/>
  <c r="M82" i="13"/>
  <c r="D82" i="13"/>
  <c r="J81" i="13"/>
  <c r="K81" i="13"/>
  <c r="L81" i="13"/>
  <c r="N81" i="13"/>
  <c r="M81" i="13"/>
  <c r="D81" i="13"/>
  <c r="J80" i="13"/>
  <c r="K80" i="13"/>
  <c r="L80" i="13"/>
  <c r="N80" i="13"/>
  <c r="M80" i="13"/>
  <c r="D80" i="13"/>
  <c r="J79" i="13"/>
  <c r="K79" i="13"/>
  <c r="L79" i="13"/>
  <c r="N79" i="13"/>
  <c r="M79" i="13"/>
  <c r="D79" i="13"/>
  <c r="J78" i="13"/>
  <c r="K78" i="13"/>
  <c r="L78" i="13"/>
  <c r="N78" i="13"/>
  <c r="M78" i="13"/>
  <c r="D78" i="13"/>
  <c r="J77" i="13"/>
  <c r="K77" i="13"/>
  <c r="L77" i="13"/>
  <c r="N77" i="13"/>
  <c r="M77" i="13"/>
  <c r="D77" i="13"/>
  <c r="J76" i="13"/>
  <c r="K76" i="13"/>
  <c r="L76" i="13"/>
  <c r="N76" i="13"/>
  <c r="M76" i="13"/>
  <c r="D76" i="13"/>
  <c r="J75" i="13"/>
  <c r="K75" i="13"/>
  <c r="L75" i="13"/>
  <c r="N75" i="13"/>
  <c r="M75" i="13"/>
  <c r="D75" i="13"/>
  <c r="J74" i="13"/>
  <c r="K74" i="13"/>
  <c r="L74" i="13"/>
  <c r="N74" i="13"/>
  <c r="M74" i="13"/>
  <c r="D74" i="13"/>
  <c r="J73" i="13"/>
  <c r="K73" i="13"/>
  <c r="L73" i="13"/>
  <c r="N73" i="13"/>
  <c r="M73" i="13"/>
  <c r="D73" i="13"/>
  <c r="J72" i="13"/>
  <c r="K72" i="13"/>
  <c r="L72" i="13"/>
  <c r="N72" i="13"/>
  <c r="M72" i="13"/>
  <c r="D72" i="13"/>
  <c r="J71" i="13"/>
  <c r="K71" i="13"/>
  <c r="L71" i="13"/>
  <c r="N71" i="13"/>
  <c r="M71" i="13"/>
  <c r="D71" i="13"/>
  <c r="J70" i="13"/>
  <c r="K70" i="13"/>
  <c r="L70" i="13"/>
  <c r="N70" i="13"/>
  <c r="M70" i="13"/>
  <c r="D70" i="13"/>
  <c r="J69" i="13"/>
  <c r="K69" i="13"/>
  <c r="L69" i="13"/>
  <c r="N69" i="13"/>
  <c r="M69" i="13"/>
  <c r="D69" i="13"/>
  <c r="J68" i="13"/>
  <c r="K68" i="13"/>
  <c r="L68" i="13"/>
  <c r="N68" i="13"/>
  <c r="M68" i="13"/>
  <c r="D68" i="13"/>
  <c r="J67" i="13"/>
  <c r="K67" i="13"/>
  <c r="L67" i="13"/>
  <c r="N67" i="13"/>
  <c r="M67" i="13"/>
  <c r="D67" i="13"/>
  <c r="J66" i="13"/>
  <c r="K66" i="13"/>
  <c r="L66" i="13"/>
  <c r="N66" i="13"/>
  <c r="M66" i="13"/>
  <c r="D66" i="13"/>
  <c r="J65" i="13"/>
  <c r="K65" i="13"/>
  <c r="L65" i="13"/>
  <c r="N65" i="13"/>
  <c r="M65" i="13"/>
  <c r="D65" i="13"/>
  <c r="J64" i="13"/>
  <c r="K64" i="13"/>
  <c r="L64" i="13"/>
  <c r="N64" i="13"/>
  <c r="M64" i="13"/>
  <c r="D64" i="13"/>
  <c r="J63" i="13"/>
  <c r="K63" i="13"/>
  <c r="L63" i="13"/>
  <c r="N63" i="13"/>
  <c r="M63" i="13"/>
  <c r="D63" i="13"/>
  <c r="J62" i="13"/>
  <c r="K62" i="13"/>
  <c r="L62" i="13"/>
  <c r="N62" i="13"/>
  <c r="M62" i="13"/>
  <c r="D62" i="13"/>
  <c r="J61" i="13"/>
  <c r="K61" i="13"/>
  <c r="L61" i="13"/>
  <c r="N61" i="13"/>
  <c r="M61" i="13"/>
  <c r="D61" i="13"/>
  <c r="J60" i="13"/>
  <c r="K60" i="13"/>
  <c r="L60" i="13"/>
  <c r="N60" i="13"/>
  <c r="M60" i="13"/>
  <c r="D60" i="13"/>
  <c r="J59" i="13"/>
  <c r="K59" i="13"/>
  <c r="L59" i="13"/>
  <c r="N59" i="13"/>
  <c r="M59" i="13"/>
  <c r="D59" i="13"/>
  <c r="J58" i="13"/>
  <c r="K58" i="13"/>
  <c r="L58" i="13"/>
  <c r="N58" i="13"/>
  <c r="M58" i="13"/>
  <c r="D58" i="13"/>
  <c r="J57" i="13"/>
  <c r="K57" i="13"/>
  <c r="L57" i="13"/>
  <c r="N57" i="13"/>
  <c r="M57" i="13"/>
  <c r="D57" i="13"/>
  <c r="J56" i="13"/>
  <c r="K56" i="13"/>
  <c r="L56" i="13"/>
  <c r="N56" i="13"/>
  <c r="M56" i="13"/>
  <c r="D56" i="13"/>
  <c r="J55" i="13"/>
  <c r="K55" i="13"/>
  <c r="L55" i="13"/>
  <c r="N55" i="13"/>
  <c r="M55" i="13"/>
  <c r="D55" i="13"/>
  <c r="J54" i="13"/>
  <c r="K54" i="13"/>
  <c r="L54" i="13"/>
  <c r="N54" i="13"/>
  <c r="M54" i="13"/>
  <c r="D54" i="13"/>
  <c r="J53" i="13"/>
  <c r="K53" i="13"/>
  <c r="L53" i="13"/>
  <c r="N53" i="13"/>
  <c r="M53" i="13"/>
  <c r="D53" i="13"/>
  <c r="J52" i="13"/>
  <c r="K52" i="13"/>
  <c r="L52" i="13"/>
  <c r="N52" i="13"/>
  <c r="M52" i="13"/>
  <c r="D52" i="13"/>
  <c r="J51" i="13"/>
  <c r="K51" i="13"/>
  <c r="L51" i="13"/>
  <c r="N51" i="13"/>
  <c r="M51" i="13"/>
  <c r="D51" i="13"/>
  <c r="J50" i="13"/>
  <c r="K50" i="13"/>
  <c r="L50" i="13"/>
  <c r="N50" i="13"/>
  <c r="M50" i="13"/>
  <c r="D50" i="13"/>
  <c r="J49" i="13"/>
  <c r="K49" i="13"/>
  <c r="L49" i="13"/>
  <c r="N49" i="13"/>
  <c r="M49" i="13"/>
  <c r="D49" i="13"/>
  <c r="J48" i="13"/>
  <c r="K48" i="13"/>
  <c r="L48" i="13"/>
  <c r="N48" i="13"/>
  <c r="M48" i="13"/>
  <c r="D48" i="13"/>
  <c r="J47" i="13"/>
  <c r="K47" i="13"/>
  <c r="L47" i="13"/>
  <c r="N47" i="13"/>
  <c r="M47" i="13"/>
  <c r="D47" i="13"/>
  <c r="J46" i="13"/>
  <c r="K46" i="13"/>
  <c r="L46" i="13"/>
  <c r="N46" i="13"/>
  <c r="M46" i="13"/>
  <c r="D46" i="13"/>
  <c r="J45" i="13"/>
  <c r="K45" i="13"/>
  <c r="L45" i="13"/>
  <c r="N45" i="13"/>
  <c r="M45" i="13"/>
  <c r="D45" i="13"/>
  <c r="J44" i="13"/>
  <c r="K44" i="13"/>
  <c r="L44" i="13"/>
  <c r="N44" i="13"/>
  <c r="M44" i="13"/>
  <c r="D44" i="13"/>
  <c r="J43" i="13"/>
  <c r="K43" i="13"/>
  <c r="L43" i="13"/>
  <c r="N43" i="13"/>
  <c r="M43" i="13"/>
  <c r="D43" i="13"/>
  <c r="J42" i="13"/>
  <c r="K42" i="13"/>
  <c r="L42" i="13"/>
  <c r="N42" i="13"/>
  <c r="M42" i="13"/>
  <c r="D42" i="13"/>
  <c r="J41" i="13"/>
  <c r="K41" i="13"/>
  <c r="L41" i="13"/>
  <c r="N41" i="13"/>
  <c r="M41" i="13"/>
  <c r="D41" i="13"/>
  <c r="J40" i="13"/>
  <c r="K40" i="13"/>
  <c r="L40" i="13"/>
  <c r="N40" i="13"/>
  <c r="M40" i="13"/>
  <c r="D40" i="13"/>
  <c r="J39" i="13"/>
  <c r="K39" i="13"/>
  <c r="L39" i="13"/>
  <c r="N39" i="13"/>
  <c r="M39" i="13"/>
  <c r="D39" i="13"/>
  <c r="J38" i="13"/>
  <c r="K38" i="13"/>
  <c r="L38" i="13"/>
  <c r="N38" i="13"/>
  <c r="M38" i="13"/>
  <c r="D38" i="13"/>
  <c r="J37" i="13"/>
  <c r="K37" i="13"/>
  <c r="L37" i="13"/>
  <c r="N37" i="13"/>
  <c r="M37" i="13"/>
  <c r="D37" i="13"/>
  <c r="J36" i="13"/>
  <c r="K36" i="13"/>
  <c r="L36" i="13"/>
  <c r="N36" i="13"/>
  <c r="M36" i="13"/>
  <c r="D36" i="13"/>
  <c r="J35" i="13"/>
  <c r="K35" i="13"/>
  <c r="L35" i="13"/>
  <c r="N35" i="13"/>
  <c r="M35" i="13"/>
  <c r="D35" i="13"/>
  <c r="J34" i="13"/>
  <c r="K34" i="13"/>
  <c r="L34" i="13"/>
  <c r="N34" i="13"/>
  <c r="M34" i="13"/>
  <c r="D34" i="13"/>
  <c r="J33" i="13"/>
  <c r="K33" i="13"/>
  <c r="L33" i="13"/>
  <c r="N33" i="13"/>
  <c r="M33" i="13"/>
  <c r="D33" i="13"/>
  <c r="J32" i="13"/>
  <c r="K32" i="13"/>
  <c r="L32" i="13"/>
  <c r="N32" i="13"/>
  <c r="M32" i="13"/>
  <c r="D32" i="13"/>
  <c r="J31" i="13"/>
  <c r="K31" i="13"/>
  <c r="L31" i="13"/>
  <c r="N31" i="13"/>
  <c r="M31" i="13"/>
  <c r="D31" i="13"/>
  <c r="J30" i="13"/>
  <c r="K30" i="13"/>
  <c r="L30" i="13"/>
  <c r="N30" i="13"/>
  <c r="M30" i="13"/>
  <c r="D30" i="13"/>
  <c r="J29" i="13"/>
  <c r="K29" i="13"/>
  <c r="L29" i="13"/>
  <c r="N29" i="13"/>
  <c r="M29" i="13"/>
  <c r="D29" i="13"/>
  <c r="J28" i="13"/>
  <c r="K28" i="13"/>
  <c r="L28" i="13"/>
  <c r="N28" i="13"/>
  <c r="M28" i="13"/>
  <c r="D28" i="13"/>
  <c r="J27" i="13"/>
  <c r="K27" i="13"/>
  <c r="L27" i="13"/>
  <c r="N27" i="13"/>
  <c r="M27" i="13"/>
  <c r="D27" i="13"/>
  <c r="J26" i="13"/>
  <c r="K26" i="13"/>
  <c r="L26" i="13"/>
  <c r="N26" i="13"/>
  <c r="M26" i="13"/>
  <c r="D26" i="13"/>
  <c r="J25" i="13"/>
  <c r="K25" i="13"/>
  <c r="L25" i="13"/>
  <c r="N25" i="13"/>
  <c r="M25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D7" i="13"/>
  <c r="D6" i="13"/>
  <c r="W5" i="13"/>
  <c r="V5" i="13"/>
  <c r="Q5" i="13"/>
  <c r="D5" i="13"/>
  <c r="K5" i="12"/>
  <c r="N5" i="12"/>
  <c r="K6" i="12"/>
  <c r="N6" i="12"/>
  <c r="K7" i="12"/>
  <c r="N7" i="12"/>
  <c r="K8" i="12"/>
  <c r="N8" i="12"/>
  <c r="K9" i="12"/>
  <c r="N9" i="12"/>
  <c r="K10" i="12"/>
  <c r="N10" i="12"/>
  <c r="K11" i="12"/>
  <c r="N11" i="12"/>
  <c r="K12" i="12"/>
  <c r="N12" i="12"/>
  <c r="K13" i="12"/>
  <c r="N13" i="12"/>
  <c r="K14" i="12"/>
  <c r="N14" i="12"/>
  <c r="K15" i="12"/>
  <c r="N15" i="12"/>
  <c r="K16" i="12"/>
  <c r="N16" i="12"/>
  <c r="K17" i="12"/>
  <c r="N17" i="12"/>
  <c r="K18" i="12"/>
  <c r="N18" i="12"/>
  <c r="K19" i="12"/>
  <c r="N19" i="12"/>
  <c r="K20" i="12"/>
  <c r="N20" i="12"/>
  <c r="K21" i="12"/>
  <c r="N21" i="12"/>
  <c r="K22" i="12"/>
  <c r="N22" i="12"/>
  <c r="K23" i="12"/>
  <c r="N23" i="12"/>
  <c r="K24" i="12"/>
  <c r="N24" i="12"/>
  <c r="K25" i="12"/>
  <c r="N25" i="12"/>
  <c r="K26" i="12"/>
  <c r="N26" i="12"/>
  <c r="K27" i="12"/>
  <c r="N27" i="12"/>
  <c r="K28" i="12"/>
  <c r="N28" i="12"/>
  <c r="K29" i="12"/>
  <c r="N29" i="12"/>
  <c r="K30" i="12"/>
  <c r="N30" i="12"/>
  <c r="K31" i="12"/>
  <c r="N31" i="12"/>
  <c r="K32" i="12"/>
  <c r="N32" i="12"/>
  <c r="K33" i="12"/>
  <c r="N33" i="12"/>
  <c r="K34" i="12"/>
  <c r="N34" i="12"/>
  <c r="K35" i="12"/>
  <c r="N35" i="12"/>
  <c r="K36" i="12"/>
  <c r="N36" i="12"/>
  <c r="K37" i="12"/>
  <c r="N37" i="12"/>
  <c r="K38" i="12"/>
  <c r="N38" i="12"/>
  <c r="K39" i="12"/>
  <c r="N39" i="12"/>
  <c r="K40" i="12"/>
  <c r="N40" i="12"/>
  <c r="K41" i="12"/>
  <c r="N41" i="12"/>
  <c r="K42" i="12"/>
  <c r="N42" i="12"/>
  <c r="K43" i="12"/>
  <c r="N43" i="12"/>
  <c r="K44" i="12"/>
  <c r="N44" i="12"/>
  <c r="K45" i="12"/>
  <c r="N45" i="12"/>
  <c r="K46" i="12"/>
  <c r="N46" i="12"/>
  <c r="K47" i="12"/>
  <c r="N47" i="12"/>
  <c r="K48" i="12"/>
  <c r="N48" i="12"/>
  <c r="K49" i="12"/>
  <c r="N49" i="12"/>
  <c r="K50" i="12"/>
  <c r="N50" i="12"/>
  <c r="K51" i="12"/>
  <c r="N51" i="12"/>
  <c r="K52" i="12"/>
  <c r="N52" i="12"/>
  <c r="K53" i="12"/>
  <c r="N53" i="12"/>
  <c r="K54" i="12"/>
  <c r="N54" i="12"/>
  <c r="K55" i="12"/>
  <c r="N55" i="12"/>
  <c r="K56" i="12"/>
  <c r="N56" i="12"/>
  <c r="K57" i="12"/>
  <c r="N57" i="12"/>
  <c r="K58" i="12"/>
  <c r="N58" i="12"/>
  <c r="K59" i="12"/>
  <c r="N59" i="12"/>
  <c r="K60" i="12"/>
  <c r="N60" i="12"/>
  <c r="K61" i="12"/>
  <c r="N61" i="12"/>
  <c r="K62" i="12"/>
  <c r="N62" i="12"/>
  <c r="K63" i="12"/>
  <c r="N63" i="12"/>
  <c r="K64" i="12"/>
  <c r="N64" i="12"/>
  <c r="K65" i="12"/>
  <c r="N65" i="12"/>
  <c r="K66" i="12"/>
  <c r="N66" i="12"/>
  <c r="K67" i="12"/>
  <c r="N67" i="12"/>
  <c r="K68" i="12"/>
  <c r="N68" i="12"/>
  <c r="K69" i="12"/>
  <c r="N69" i="12"/>
  <c r="K70" i="12"/>
  <c r="N70" i="12"/>
  <c r="K71" i="12"/>
  <c r="N71" i="12"/>
  <c r="K72" i="12"/>
  <c r="N72" i="12"/>
  <c r="K73" i="12"/>
  <c r="N73" i="12"/>
  <c r="K74" i="12"/>
  <c r="N74" i="12"/>
  <c r="K75" i="12"/>
  <c r="N75" i="12"/>
  <c r="K76" i="12"/>
  <c r="N76" i="12"/>
  <c r="K77" i="12"/>
  <c r="N77" i="12"/>
  <c r="K78" i="12"/>
  <c r="N78" i="12"/>
  <c r="K79" i="12"/>
  <c r="N79" i="12"/>
  <c r="K80" i="12"/>
  <c r="N80" i="12"/>
  <c r="K81" i="12"/>
  <c r="N81" i="12"/>
  <c r="K82" i="12"/>
  <c r="N82" i="12"/>
  <c r="K83" i="12"/>
  <c r="N83" i="12"/>
  <c r="K84" i="12"/>
  <c r="N84" i="12"/>
  <c r="K85" i="12"/>
  <c r="N85" i="12"/>
  <c r="K86" i="12"/>
  <c r="N86" i="12"/>
  <c r="K87" i="12"/>
  <c r="N87" i="12"/>
  <c r="K88" i="12"/>
  <c r="N88" i="12"/>
  <c r="K89" i="12"/>
  <c r="N89" i="12"/>
  <c r="K90" i="12"/>
  <c r="N90" i="12"/>
  <c r="K91" i="12"/>
  <c r="N91" i="12"/>
  <c r="K92" i="12"/>
  <c r="N92" i="12"/>
  <c r="K93" i="12"/>
  <c r="N93" i="12"/>
  <c r="K94" i="12"/>
  <c r="N94" i="12"/>
  <c r="K95" i="12"/>
  <c r="N95" i="12"/>
  <c r="Z10" i="12"/>
  <c r="Z9" i="12"/>
  <c r="W5" i="12"/>
  <c r="V5" i="12"/>
  <c r="Q6" i="12"/>
  <c r="Q7" i="12"/>
  <c r="Q8" i="12"/>
  <c r="Q9" i="12"/>
  <c r="Q10" i="12"/>
  <c r="Q11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Q24" i="12"/>
  <c r="Q25" i="12"/>
  <c r="Q26" i="12"/>
  <c r="Q27" i="12"/>
  <c r="Q28" i="12"/>
  <c r="Q29" i="12"/>
  <c r="Q30" i="12"/>
  <c r="Q31" i="12"/>
  <c r="Q32" i="12"/>
  <c r="Q33" i="12"/>
  <c r="Q34" i="12"/>
  <c r="Q35" i="12"/>
  <c r="Q36" i="12"/>
  <c r="Q37" i="12"/>
  <c r="Q38" i="12"/>
  <c r="Q39" i="12"/>
  <c r="Q40" i="12"/>
  <c r="Q41" i="12"/>
  <c r="Q42" i="12"/>
  <c r="Q43" i="12"/>
  <c r="Q44" i="12"/>
  <c r="Q45" i="12"/>
  <c r="Q46" i="12"/>
  <c r="Q47" i="12"/>
  <c r="Q48" i="12"/>
  <c r="Q49" i="12"/>
  <c r="Q50" i="12"/>
  <c r="Q51" i="12"/>
  <c r="Q52" i="12"/>
  <c r="Q53" i="12"/>
  <c r="Q54" i="12"/>
  <c r="Q55" i="12"/>
  <c r="Q56" i="12"/>
  <c r="Q57" i="12"/>
  <c r="Q58" i="12"/>
  <c r="Q59" i="12"/>
  <c r="Q60" i="12"/>
  <c r="Q61" i="12"/>
  <c r="Q62" i="12"/>
  <c r="Q63" i="12"/>
  <c r="Q64" i="12"/>
  <c r="Q65" i="12"/>
  <c r="Q66" i="12"/>
  <c r="Q67" i="12"/>
  <c r="Q68" i="12"/>
  <c r="Q69" i="12"/>
  <c r="Q70" i="12"/>
  <c r="Q71" i="12"/>
  <c r="Q72" i="12"/>
  <c r="Q73" i="12"/>
  <c r="Q74" i="12"/>
  <c r="Q75" i="12"/>
  <c r="Q76" i="12"/>
  <c r="Q77" i="12"/>
  <c r="Q78" i="12"/>
  <c r="Q79" i="12"/>
  <c r="Q80" i="12"/>
  <c r="Q81" i="12"/>
  <c r="Q82" i="12"/>
  <c r="Q83" i="12"/>
  <c r="Q84" i="12"/>
  <c r="Q85" i="12"/>
  <c r="Q86" i="12"/>
  <c r="Q87" i="12"/>
  <c r="Q88" i="12"/>
  <c r="Q89" i="12"/>
  <c r="Q90" i="12"/>
  <c r="Q91" i="12"/>
  <c r="Q92" i="12"/>
  <c r="Q93" i="12"/>
  <c r="Q94" i="12"/>
  <c r="Q95" i="12"/>
  <c r="Q5" i="12"/>
  <c r="D95" i="12"/>
  <c r="D94" i="12"/>
  <c r="D93" i="12"/>
  <c r="D92" i="12"/>
  <c r="D91" i="12"/>
  <c r="D90" i="12"/>
  <c r="D89" i="12"/>
  <c r="D88" i="12"/>
  <c r="D87" i="12"/>
  <c r="D86" i="12"/>
  <c r="D85" i="12"/>
  <c r="D84" i="12"/>
  <c r="D83" i="12"/>
  <c r="D82" i="12"/>
  <c r="D81" i="12"/>
  <c r="D80" i="12"/>
  <c r="D79" i="12"/>
  <c r="D78" i="12"/>
  <c r="D77" i="12"/>
  <c r="D76" i="12"/>
  <c r="D75" i="12"/>
  <c r="D74" i="12"/>
  <c r="D73" i="12"/>
  <c r="D72" i="12"/>
  <c r="D71" i="12"/>
  <c r="D70" i="12"/>
  <c r="D69" i="12"/>
  <c r="D68" i="12"/>
  <c r="D67" i="12"/>
  <c r="D66" i="12"/>
  <c r="D65" i="12"/>
  <c r="D64" i="12"/>
  <c r="D63" i="12"/>
  <c r="D62" i="12"/>
  <c r="D61" i="12"/>
  <c r="D60" i="12"/>
  <c r="D59" i="12"/>
  <c r="D58" i="12"/>
  <c r="D57" i="12"/>
  <c r="D56" i="12"/>
  <c r="D55" i="12"/>
  <c r="D54" i="12"/>
  <c r="D53" i="12"/>
  <c r="D52" i="12"/>
  <c r="D51" i="12"/>
  <c r="D50" i="12"/>
  <c r="D49" i="12"/>
  <c r="D48" i="12"/>
  <c r="D47" i="12"/>
  <c r="D46" i="12"/>
  <c r="D45" i="12"/>
  <c r="D44" i="12"/>
  <c r="D43" i="12"/>
  <c r="D42" i="12"/>
  <c r="D41" i="12"/>
  <c r="D40" i="12"/>
  <c r="D39" i="12"/>
  <c r="D38" i="12"/>
  <c r="D37" i="12"/>
  <c r="D36" i="12"/>
  <c r="D35" i="12"/>
  <c r="D34" i="12"/>
  <c r="D33" i="12"/>
  <c r="D32" i="12"/>
  <c r="D31" i="12"/>
  <c r="D30" i="12"/>
  <c r="D29" i="12"/>
  <c r="D28" i="12"/>
  <c r="D27" i="12"/>
  <c r="D26" i="12"/>
  <c r="D25" i="12"/>
  <c r="D24" i="12"/>
  <c r="D23" i="12"/>
  <c r="D22" i="12"/>
  <c r="D21" i="12"/>
  <c r="D20" i="12"/>
  <c r="D19" i="12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C8" i="11"/>
  <c r="C15" i="11"/>
  <c r="C22" i="11"/>
  <c r="C29" i="11"/>
  <c r="C32" i="11"/>
  <c r="F7" i="7"/>
  <c r="F6" i="7"/>
  <c r="F5" i="7"/>
  <c r="G5" i="7"/>
  <c r="G6" i="7"/>
  <c r="G7" i="7"/>
  <c r="F8" i="7"/>
  <c r="G8" i="7"/>
  <c r="F9" i="7"/>
  <c r="G9" i="7"/>
  <c r="F10" i="7"/>
  <c r="G10" i="7"/>
  <c r="F11" i="7"/>
  <c r="G11" i="7"/>
  <c r="F12" i="7"/>
  <c r="G12" i="7"/>
  <c r="F13" i="7"/>
  <c r="G13" i="7"/>
  <c r="F14" i="7"/>
  <c r="G14" i="7"/>
  <c r="F15" i="7"/>
  <c r="G15" i="7"/>
  <c r="F16" i="7"/>
  <c r="G16" i="7"/>
  <c r="F17" i="7"/>
  <c r="G17" i="7"/>
  <c r="F18" i="7"/>
  <c r="G18" i="7"/>
  <c r="F19" i="7"/>
  <c r="G19" i="7"/>
  <c r="F20" i="7"/>
  <c r="G20" i="7"/>
  <c r="F21" i="7"/>
  <c r="G21" i="7"/>
  <c r="F22" i="7"/>
  <c r="G22" i="7"/>
  <c r="F23" i="7"/>
  <c r="G23" i="7"/>
  <c r="F24" i="7"/>
  <c r="G24" i="7"/>
  <c r="F25" i="7"/>
  <c r="G25" i="7"/>
  <c r="F26" i="7"/>
  <c r="G26" i="7"/>
  <c r="F27" i="7"/>
  <c r="G27" i="7"/>
  <c r="F28" i="7"/>
  <c r="G28" i="7"/>
  <c r="F29" i="7"/>
  <c r="G29" i="7"/>
  <c r="F30" i="7"/>
  <c r="G30" i="7"/>
  <c r="F31" i="7"/>
  <c r="G31" i="7"/>
  <c r="F32" i="7"/>
  <c r="G32" i="7"/>
  <c r="F33" i="7"/>
  <c r="G33" i="7"/>
  <c r="F34" i="7"/>
  <c r="G34" i="7"/>
  <c r="F35" i="7"/>
  <c r="G35" i="7"/>
  <c r="F36" i="7"/>
  <c r="G36" i="7"/>
  <c r="F37" i="7"/>
  <c r="G37" i="7"/>
  <c r="F38" i="7"/>
  <c r="G38" i="7"/>
  <c r="F39" i="7"/>
  <c r="G39" i="7"/>
  <c r="F40" i="7"/>
  <c r="G40" i="7"/>
  <c r="F41" i="7"/>
  <c r="G41" i="7"/>
  <c r="F42" i="7"/>
  <c r="G42" i="7"/>
  <c r="F43" i="7"/>
  <c r="G43" i="7"/>
  <c r="F44" i="7"/>
  <c r="G44" i="7"/>
  <c r="F45" i="7"/>
  <c r="G45" i="7"/>
  <c r="F46" i="7"/>
  <c r="G46" i="7"/>
  <c r="F47" i="7"/>
  <c r="G47" i="7"/>
  <c r="F48" i="7"/>
  <c r="G48" i="7"/>
  <c r="F49" i="7"/>
  <c r="G49" i="7"/>
  <c r="F50" i="7"/>
  <c r="G50" i="7"/>
  <c r="F51" i="7"/>
  <c r="G51" i="7"/>
  <c r="F52" i="7"/>
  <c r="G52" i="7"/>
  <c r="F53" i="7"/>
  <c r="G53" i="7"/>
  <c r="F54" i="7"/>
  <c r="G54" i="7"/>
  <c r="F55" i="7"/>
  <c r="G55" i="7"/>
  <c r="F56" i="7"/>
  <c r="G56" i="7"/>
  <c r="F57" i="7"/>
  <c r="G57" i="7"/>
  <c r="F58" i="7"/>
  <c r="G58" i="7"/>
  <c r="F59" i="7"/>
  <c r="G59" i="7"/>
  <c r="F60" i="7"/>
  <c r="G60" i="7"/>
  <c r="F61" i="7"/>
  <c r="G61" i="7"/>
  <c r="F62" i="7"/>
  <c r="G62" i="7"/>
  <c r="F63" i="7"/>
  <c r="G63" i="7"/>
  <c r="F64" i="7"/>
  <c r="G64" i="7"/>
  <c r="F65" i="7"/>
  <c r="G65" i="7"/>
  <c r="F66" i="7"/>
  <c r="G66" i="7"/>
  <c r="F67" i="7"/>
  <c r="G67" i="7"/>
  <c r="F68" i="7"/>
  <c r="G68" i="7"/>
  <c r="F69" i="7"/>
  <c r="G69" i="7"/>
  <c r="F70" i="7"/>
  <c r="G70" i="7"/>
  <c r="F71" i="7"/>
  <c r="G71" i="7"/>
  <c r="F72" i="7"/>
  <c r="G72" i="7"/>
  <c r="F73" i="7"/>
  <c r="G73" i="7"/>
  <c r="F74" i="7"/>
  <c r="G74" i="7"/>
  <c r="F75" i="7"/>
  <c r="G75" i="7"/>
  <c r="F76" i="7"/>
  <c r="G76" i="7"/>
  <c r="F77" i="7"/>
  <c r="G77" i="7"/>
  <c r="F78" i="7"/>
  <c r="G78" i="7"/>
  <c r="F79" i="7"/>
  <c r="G79" i="7"/>
  <c r="F80" i="7"/>
  <c r="G80" i="7"/>
  <c r="F81" i="7"/>
  <c r="G81" i="7"/>
  <c r="F82" i="7"/>
  <c r="G82" i="7"/>
  <c r="F83" i="7"/>
  <c r="G83" i="7"/>
  <c r="F84" i="7"/>
  <c r="G84" i="7"/>
  <c r="F85" i="7"/>
  <c r="G85" i="7"/>
  <c r="F86" i="7"/>
  <c r="G86" i="7"/>
  <c r="F87" i="7"/>
  <c r="G87" i="7"/>
  <c r="F88" i="7"/>
  <c r="G88" i="7"/>
  <c r="F89" i="7"/>
  <c r="G89" i="7"/>
  <c r="F90" i="7"/>
  <c r="G90" i="7"/>
  <c r="F91" i="7"/>
  <c r="G91" i="7"/>
  <c r="F92" i="7"/>
  <c r="G92" i="7"/>
  <c r="F93" i="7"/>
  <c r="G93" i="7"/>
  <c r="F94" i="7"/>
  <c r="G94" i="7"/>
  <c r="F95" i="7"/>
  <c r="G95" i="7"/>
  <c r="C5" i="7"/>
  <c r="AA10" i="7"/>
  <c r="AA9" i="7"/>
  <c r="AA8" i="7"/>
  <c r="AB7" i="7"/>
  <c r="AB8" i="7"/>
  <c r="AB9" i="7"/>
  <c r="AB10" i="7"/>
  <c r="AC9" i="7"/>
  <c r="AA11" i="7"/>
  <c r="AB11" i="7"/>
  <c r="AC10" i="7"/>
  <c r="AD9" i="7"/>
  <c r="AA12" i="7"/>
  <c r="AB12" i="7"/>
  <c r="AC11" i="7"/>
  <c r="AD10" i="7"/>
  <c r="AE9" i="7"/>
  <c r="AA13" i="7"/>
  <c r="AB13" i="7"/>
  <c r="AC12" i="7"/>
  <c r="AD11" i="7"/>
  <c r="AE10" i="7"/>
  <c r="AF9" i="7"/>
  <c r="AA14" i="7"/>
  <c r="AB14" i="7"/>
  <c r="AC13" i="7"/>
  <c r="AD12" i="7"/>
  <c r="AE11" i="7"/>
  <c r="AF10" i="7"/>
  <c r="AG9" i="7"/>
  <c r="AA15" i="7"/>
  <c r="AB15" i="7"/>
  <c r="AC14" i="7"/>
  <c r="AD13" i="7"/>
  <c r="AE12" i="7"/>
  <c r="AF11" i="7"/>
  <c r="AG10" i="7"/>
  <c r="AH9" i="7"/>
  <c r="AA16" i="7"/>
  <c r="AB16" i="7"/>
  <c r="AC15" i="7"/>
  <c r="AD14" i="7"/>
  <c r="AE13" i="7"/>
  <c r="AF12" i="7"/>
  <c r="AG11" i="7"/>
  <c r="AH10" i="7"/>
  <c r="AI9" i="7"/>
  <c r="AA17" i="7"/>
  <c r="AB17" i="7"/>
  <c r="AC16" i="7"/>
  <c r="AD15" i="7"/>
  <c r="AE14" i="7"/>
  <c r="AF13" i="7"/>
  <c r="AG12" i="7"/>
  <c r="AH11" i="7"/>
  <c r="AI10" i="7"/>
  <c r="AJ9" i="7"/>
  <c r="AA18" i="7"/>
  <c r="AB18" i="7"/>
  <c r="AC17" i="7"/>
  <c r="AD16" i="7"/>
  <c r="AE15" i="7"/>
  <c r="AF14" i="7"/>
  <c r="AG13" i="7"/>
  <c r="AH12" i="7"/>
  <c r="AI11" i="7"/>
  <c r="AJ10" i="7"/>
  <c r="AK9" i="7"/>
  <c r="AA19" i="7"/>
  <c r="AB19" i="7"/>
  <c r="AC18" i="7"/>
  <c r="AD17" i="7"/>
  <c r="AE16" i="7"/>
  <c r="AF15" i="7"/>
  <c r="AG14" i="7"/>
  <c r="AH13" i="7"/>
  <c r="AI12" i="7"/>
  <c r="AJ11" i="7"/>
  <c r="AK10" i="7"/>
  <c r="AL9" i="7"/>
  <c r="AA20" i="7"/>
  <c r="AB20" i="7"/>
  <c r="AC19" i="7"/>
  <c r="AD18" i="7"/>
  <c r="AE17" i="7"/>
  <c r="AF16" i="7"/>
  <c r="AG15" i="7"/>
  <c r="AH14" i="7"/>
  <c r="AI13" i="7"/>
  <c r="AJ12" i="7"/>
  <c r="AK11" i="7"/>
  <c r="AL10" i="7"/>
  <c r="AM9" i="7"/>
  <c r="AA21" i="7"/>
  <c r="AB21" i="7"/>
  <c r="AC20" i="7"/>
  <c r="AD19" i="7"/>
  <c r="AE18" i="7"/>
  <c r="AF17" i="7"/>
  <c r="AG16" i="7"/>
  <c r="AH15" i="7"/>
  <c r="AI14" i="7"/>
  <c r="AJ13" i="7"/>
  <c r="AK12" i="7"/>
  <c r="AL11" i="7"/>
  <c r="AM10" i="7"/>
  <c r="AN9" i="7"/>
  <c r="AA22" i="7"/>
  <c r="AB22" i="7"/>
  <c r="AC21" i="7"/>
  <c r="AD20" i="7"/>
  <c r="AE19" i="7"/>
  <c r="AF18" i="7"/>
  <c r="AG17" i="7"/>
  <c r="AH16" i="7"/>
  <c r="AI15" i="7"/>
  <c r="AJ14" i="7"/>
  <c r="AK13" i="7"/>
  <c r="AL12" i="7"/>
  <c r="AM11" i="7"/>
  <c r="AN10" i="7"/>
  <c r="AO9" i="7"/>
  <c r="AA23" i="7"/>
  <c r="AB23" i="7"/>
  <c r="AC22" i="7"/>
  <c r="AD21" i="7"/>
  <c r="AE20" i="7"/>
  <c r="AF19" i="7"/>
  <c r="AG18" i="7"/>
  <c r="AH17" i="7"/>
  <c r="AI16" i="7"/>
  <c r="AJ15" i="7"/>
  <c r="AK14" i="7"/>
  <c r="AL13" i="7"/>
  <c r="AM12" i="7"/>
  <c r="AN11" i="7"/>
  <c r="AO10" i="7"/>
  <c r="AP9" i="7"/>
  <c r="AA24" i="7"/>
  <c r="AB24" i="7"/>
  <c r="AC23" i="7"/>
  <c r="AD22" i="7"/>
  <c r="AE21" i="7"/>
  <c r="AF20" i="7"/>
  <c r="AG19" i="7"/>
  <c r="AH18" i="7"/>
  <c r="AI17" i="7"/>
  <c r="AJ16" i="7"/>
  <c r="AK15" i="7"/>
  <c r="AL14" i="7"/>
  <c r="AM13" i="7"/>
  <c r="AN12" i="7"/>
  <c r="AO11" i="7"/>
  <c r="AP10" i="7"/>
  <c r="AQ9" i="7"/>
  <c r="AA25" i="7"/>
  <c r="AB25" i="7"/>
  <c r="AC24" i="7"/>
  <c r="AD23" i="7"/>
  <c r="AE22" i="7"/>
  <c r="AF21" i="7"/>
  <c r="AG20" i="7"/>
  <c r="AH19" i="7"/>
  <c r="AI18" i="7"/>
  <c r="AJ17" i="7"/>
  <c r="AK16" i="7"/>
  <c r="AL15" i="7"/>
  <c r="AM14" i="7"/>
  <c r="AN13" i="7"/>
  <c r="AO12" i="7"/>
  <c r="AP11" i="7"/>
  <c r="AQ10" i="7"/>
  <c r="AR9" i="7"/>
  <c r="AA26" i="7"/>
  <c r="AB26" i="7"/>
  <c r="AC25" i="7"/>
  <c r="AD24" i="7"/>
  <c r="AE23" i="7"/>
  <c r="AF22" i="7"/>
  <c r="AG21" i="7"/>
  <c r="AH20" i="7"/>
  <c r="AI19" i="7"/>
  <c r="AJ18" i="7"/>
  <c r="AK17" i="7"/>
  <c r="AL16" i="7"/>
  <c r="AM15" i="7"/>
  <c r="AN14" i="7"/>
  <c r="AO13" i="7"/>
  <c r="AP12" i="7"/>
  <c r="AQ11" i="7"/>
  <c r="AR10" i="7"/>
  <c r="AS9" i="7"/>
  <c r="AA27" i="7"/>
  <c r="AB27" i="7"/>
  <c r="AC26" i="7"/>
  <c r="AD25" i="7"/>
  <c r="AE24" i="7"/>
  <c r="AF23" i="7"/>
  <c r="AG22" i="7"/>
  <c r="AH21" i="7"/>
  <c r="AI20" i="7"/>
  <c r="AJ19" i="7"/>
  <c r="AK18" i="7"/>
  <c r="AL17" i="7"/>
  <c r="AM16" i="7"/>
  <c r="AN15" i="7"/>
  <c r="AO14" i="7"/>
  <c r="AP13" i="7"/>
  <c r="AQ12" i="7"/>
  <c r="AR11" i="7"/>
  <c r="AS10" i="7"/>
  <c r="AT9" i="7"/>
  <c r="AA28" i="7"/>
  <c r="AB28" i="7"/>
  <c r="AC27" i="7"/>
  <c r="AD26" i="7"/>
  <c r="AE25" i="7"/>
  <c r="AF24" i="7"/>
  <c r="AG23" i="7"/>
  <c r="AH22" i="7"/>
  <c r="AI21" i="7"/>
  <c r="AJ20" i="7"/>
  <c r="AK19" i="7"/>
  <c r="AL18" i="7"/>
  <c r="AM17" i="7"/>
  <c r="AN16" i="7"/>
  <c r="AO15" i="7"/>
  <c r="AP14" i="7"/>
  <c r="AQ13" i="7"/>
  <c r="AR12" i="7"/>
  <c r="AS11" i="7"/>
  <c r="AT10" i="7"/>
  <c r="AU9" i="7"/>
  <c r="AA29" i="7"/>
  <c r="AB29" i="7"/>
  <c r="AC28" i="7"/>
  <c r="AD27" i="7"/>
  <c r="AE26" i="7"/>
  <c r="AF25" i="7"/>
  <c r="AG24" i="7"/>
  <c r="AH23" i="7"/>
  <c r="AI22" i="7"/>
  <c r="AJ21" i="7"/>
  <c r="AK20" i="7"/>
  <c r="AL19" i="7"/>
  <c r="AM18" i="7"/>
  <c r="AN17" i="7"/>
  <c r="AO16" i="7"/>
  <c r="AP15" i="7"/>
  <c r="AQ14" i="7"/>
  <c r="AR13" i="7"/>
  <c r="AS12" i="7"/>
  <c r="AT11" i="7"/>
  <c r="AU10" i="7"/>
  <c r="AV9" i="7"/>
  <c r="AA30" i="7"/>
  <c r="AB30" i="7"/>
  <c r="AC29" i="7"/>
  <c r="AD28" i="7"/>
  <c r="AE27" i="7"/>
  <c r="AF26" i="7"/>
  <c r="AG25" i="7"/>
  <c r="AH24" i="7"/>
  <c r="AI23" i="7"/>
  <c r="AJ22" i="7"/>
  <c r="AK21" i="7"/>
  <c r="AL20" i="7"/>
  <c r="AM19" i="7"/>
  <c r="AN18" i="7"/>
  <c r="AO17" i="7"/>
  <c r="AP16" i="7"/>
  <c r="AQ15" i="7"/>
  <c r="AR14" i="7"/>
  <c r="AS13" i="7"/>
  <c r="AT12" i="7"/>
  <c r="AU11" i="7"/>
  <c r="AV10" i="7"/>
  <c r="AW9" i="7"/>
  <c r="AA31" i="7"/>
  <c r="AB31" i="7"/>
  <c r="AC30" i="7"/>
  <c r="AD29" i="7"/>
  <c r="AE28" i="7"/>
  <c r="AF27" i="7"/>
  <c r="AG26" i="7"/>
  <c r="AH25" i="7"/>
  <c r="AI24" i="7"/>
  <c r="AJ23" i="7"/>
  <c r="AK22" i="7"/>
  <c r="AL21" i="7"/>
  <c r="AM20" i="7"/>
  <c r="AN19" i="7"/>
  <c r="AO18" i="7"/>
  <c r="AP17" i="7"/>
  <c r="AQ16" i="7"/>
  <c r="AR15" i="7"/>
  <c r="AS14" i="7"/>
  <c r="AT13" i="7"/>
  <c r="AU12" i="7"/>
  <c r="AV11" i="7"/>
  <c r="AW10" i="7"/>
  <c r="AX9" i="7"/>
  <c r="AA32" i="7"/>
  <c r="AB32" i="7"/>
  <c r="AC31" i="7"/>
  <c r="AD30" i="7"/>
  <c r="AE29" i="7"/>
  <c r="AF28" i="7"/>
  <c r="AG27" i="7"/>
  <c r="AH26" i="7"/>
  <c r="AI25" i="7"/>
  <c r="AJ24" i="7"/>
  <c r="AK23" i="7"/>
  <c r="AL22" i="7"/>
  <c r="AM21" i="7"/>
  <c r="AN20" i="7"/>
  <c r="AO19" i="7"/>
  <c r="AP18" i="7"/>
  <c r="AQ17" i="7"/>
  <c r="AR16" i="7"/>
  <c r="AS15" i="7"/>
  <c r="AT14" i="7"/>
  <c r="AU13" i="7"/>
  <c r="AV12" i="7"/>
  <c r="AW11" i="7"/>
  <c r="AX10" i="7"/>
  <c r="AY9" i="7"/>
  <c r="AA33" i="7"/>
  <c r="AB33" i="7"/>
  <c r="AC32" i="7"/>
  <c r="AD31" i="7"/>
  <c r="AE30" i="7"/>
  <c r="AF29" i="7"/>
  <c r="AG28" i="7"/>
  <c r="AH27" i="7"/>
  <c r="AI26" i="7"/>
  <c r="AJ25" i="7"/>
  <c r="AK24" i="7"/>
  <c r="AL23" i="7"/>
  <c r="AM22" i="7"/>
  <c r="AN21" i="7"/>
  <c r="AO20" i="7"/>
  <c r="AP19" i="7"/>
  <c r="AQ18" i="7"/>
  <c r="AR17" i="7"/>
  <c r="AS16" i="7"/>
  <c r="AT15" i="7"/>
  <c r="AU14" i="7"/>
  <c r="AV13" i="7"/>
  <c r="AW12" i="7"/>
  <c r="AX11" i="7"/>
  <c r="AY10" i="7"/>
  <c r="AZ9" i="7"/>
  <c r="AA34" i="7"/>
  <c r="AB34" i="7"/>
  <c r="AC33" i="7"/>
  <c r="AD32" i="7"/>
  <c r="AE31" i="7"/>
  <c r="AF30" i="7"/>
  <c r="AG29" i="7"/>
  <c r="AH28" i="7"/>
  <c r="AI27" i="7"/>
  <c r="AJ26" i="7"/>
  <c r="AK25" i="7"/>
  <c r="AL24" i="7"/>
  <c r="AM23" i="7"/>
  <c r="AN22" i="7"/>
  <c r="AO21" i="7"/>
  <c r="AP20" i="7"/>
  <c r="AQ19" i="7"/>
  <c r="AR18" i="7"/>
  <c r="AS17" i="7"/>
  <c r="AT16" i="7"/>
  <c r="AU15" i="7"/>
  <c r="AV14" i="7"/>
  <c r="AW13" i="7"/>
  <c r="AX12" i="7"/>
  <c r="AY11" i="7"/>
  <c r="AZ10" i="7"/>
  <c r="BA9" i="7"/>
  <c r="AA35" i="7"/>
  <c r="AB35" i="7"/>
  <c r="AC34" i="7"/>
  <c r="AD33" i="7"/>
  <c r="AE32" i="7"/>
  <c r="AF31" i="7"/>
  <c r="AG30" i="7"/>
  <c r="AH29" i="7"/>
  <c r="AI28" i="7"/>
  <c r="AJ27" i="7"/>
  <c r="AK26" i="7"/>
  <c r="AL25" i="7"/>
  <c r="AM24" i="7"/>
  <c r="AN23" i="7"/>
  <c r="AO22" i="7"/>
  <c r="AP21" i="7"/>
  <c r="AQ20" i="7"/>
  <c r="AR19" i="7"/>
  <c r="AS18" i="7"/>
  <c r="AT17" i="7"/>
  <c r="AU16" i="7"/>
  <c r="AV15" i="7"/>
  <c r="AW14" i="7"/>
  <c r="AX13" i="7"/>
  <c r="AY12" i="7"/>
  <c r="AZ11" i="7"/>
  <c r="BA10" i="7"/>
  <c r="BB9" i="7"/>
  <c r="AA36" i="7"/>
  <c r="AB36" i="7"/>
  <c r="AC35" i="7"/>
  <c r="AD34" i="7"/>
  <c r="AE33" i="7"/>
  <c r="AF32" i="7"/>
  <c r="AG31" i="7"/>
  <c r="AH30" i="7"/>
  <c r="AI29" i="7"/>
  <c r="AJ28" i="7"/>
  <c r="AK27" i="7"/>
  <c r="AL26" i="7"/>
  <c r="AM25" i="7"/>
  <c r="AN24" i="7"/>
  <c r="AO23" i="7"/>
  <c r="AP22" i="7"/>
  <c r="AQ21" i="7"/>
  <c r="AR20" i="7"/>
  <c r="AS19" i="7"/>
  <c r="AT18" i="7"/>
  <c r="AU17" i="7"/>
  <c r="AV16" i="7"/>
  <c r="AW15" i="7"/>
  <c r="AX14" i="7"/>
  <c r="AY13" i="7"/>
  <c r="AZ12" i="7"/>
  <c r="BA11" i="7"/>
  <c r="BB10" i="7"/>
  <c r="BC9" i="7"/>
  <c r="AA37" i="7"/>
  <c r="AB37" i="7"/>
  <c r="AC36" i="7"/>
  <c r="AD35" i="7"/>
  <c r="AE34" i="7"/>
  <c r="AF33" i="7"/>
  <c r="AG32" i="7"/>
  <c r="AH31" i="7"/>
  <c r="AI30" i="7"/>
  <c r="AJ29" i="7"/>
  <c r="AK28" i="7"/>
  <c r="AL27" i="7"/>
  <c r="AM26" i="7"/>
  <c r="AN25" i="7"/>
  <c r="AO24" i="7"/>
  <c r="AP23" i="7"/>
  <c r="AQ22" i="7"/>
  <c r="AR21" i="7"/>
  <c r="AS20" i="7"/>
  <c r="AT19" i="7"/>
  <c r="AU18" i="7"/>
  <c r="AV17" i="7"/>
  <c r="AW16" i="7"/>
  <c r="AX15" i="7"/>
  <c r="AY14" i="7"/>
  <c r="AZ13" i="7"/>
  <c r="BA12" i="7"/>
  <c r="BB11" i="7"/>
  <c r="BC10" i="7"/>
  <c r="BD9" i="7"/>
  <c r="AA38" i="7"/>
  <c r="AB38" i="7"/>
  <c r="AC37" i="7"/>
  <c r="AD36" i="7"/>
  <c r="AE35" i="7"/>
  <c r="AF34" i="7"/>
  <c r="AG33" i="7"/>
  <c r="AH32" i="7"/>
  <c r="AI31" i="7"/>
  <c r="AJ30" i="7"/>
  <c r="AK29" i="7"/>
  <c r="AL28" i="7"/>
  <c r="AM27" i="7"/>
  <c r="AN26" i="7"/>
  <c r="AO25" i="7"/>
  <c r="AP24" i="7"/>
  <c r="AQ23" i="7"/>
  <c r="AR22" i="7"/>
  <c r="AS21" i="7"/>
  <c r="AT20" i="7"/>
  <c r="AU19" i="7"/>
  <c r="AV18" i="7"/>
  <c r="AW17" i="7"/>
  <c r="AX16" i="7"/>
  <c r="AY15" i="7"/>
  <c r="AZ14" i="7"/>
  <c r="BA13" i="7"/>
  <c r="BB12" i="7"/>
  <c r="BC11" i="7"/>
  <c r="BD10" i="7"/>
  <c r="BE9" i="7"/>
  <c r="AA39" i="7"/>
  <c r="AB39" i="7"/>
  <c r="AC38" i="7"/>
  <c r="AD37" i="7"/>
  <c r="AE36" i="7"/>
  <c r="AF35" i="7"/>
  <c r="AG34" i="7"/>
  <c r="AH33" i="7"/>
  <c r="AI32" i="7"/>
  <c r="AJ31" i="7"/>
  <c r="AK30" i="7"/>
  <c r="AL29" i="7"/>
  <c r="AM28" i="7"/>
  <c r="AN27" i="7"/>
  <c r="AO26" i="7"/>
  <c r="AP25" i="7"/>
  <c r="AQ24" i="7"/>
  <c r="AR23" i="7"/>
  <c r="AS22" i="7"/>
  <c r="AT21" i="7"/>
  <c r="AU20" i="7"/>
  <c r="AV19" i="7"/>
  <c r="AW18" i="7"/>
  <c r="AX17" i="7"/>
  <c r="AY16" i="7"/>
  <c r="AZ15" i="7"/>
  <c r="BA14" i="7"/>
  <c r="BB13" i="7"/>
  <c r="BC12" i="7"/>
  <c r="BD11" i="7"/>
  <c r="BE10" i="7"/>
  <c r="BF9" i="7"/>
  <c r="AA40" i="7"/>
  <c r="AB40" i="7"/>
  <c r="AC39" i="7"/>
  <c r="AD38" i="7"/>
  <c r="AE37" i="7"/>
  <c r="AF36" i="7"/>
  <c r="AG35" i="7"/>
  <c r="AH34" i="7"/>
  <c r="AI33" i="7"/>
  <c r="AJ32" i="7"/>
  <c r="AK31" i="7"/>
  <c r="AL30" i="7"/>
  <c r="AM29" i="7"/>
  <c r="AN28" i="7"/>
  <c r="AO27" i="7"/>
  <c r="AP26" i="7"/>
  <c r="AQ25" i="7"/>
  <c r="AR24" i="7"/>
  <c r="AS23" i="7"/>
  <c r="AT22" i="7"/>
  <c r="AU21" i="7"/>
  <c r="AV20" i="7"/>
  <c r="AW19" i="7"/>
  <c r="AX18" i="7"/>
  <c r="AY17" i="7"/>
  <c r="AZ16" i="7"/>
  <c r="BA15" i="7"/>
  <c r="BB14" i="7"/>
  <c r="BC13" i="7"/>
  <c r="BD12" i="7"/>
  <c r="BE11" i="7"/>
  <c r="BF10" i="7"/>
  <c r="BG9" i="7"/>
  <c r="AA41" i="7"/>
  <c r="AB41" i="7"/>
  <c r="AC40" i="7"/>
  <c r="AD39" i="7"/>
  <c r="AE38" i="7"/>
  <c r="AF37" i="7"/>
  <c r="AG36" i="7"/>
  <c r="AH35" i="7"/>
  <c r="AI34" i="7"/>
  <c r="AJ33" i="7"/>
  <c r="AK32" i="7"/>
  <c r="AL31" i="7"/>
  <c r="AM30" i="7"/>
  <c r="AN29" i="7"/>
  <c r="AO28" i="7"/>
  <c r="AP27" i="7"/>
  <c r="AQ26" i="7"/>
  <c r="AR25" i="7"/>
  <c r="AS24" i="7"/>
  <c r="AT23" i="7"/>
  <c r="AU22" i="7"/>
  <c r="AV21" i="7"/>
  <c r="AW20" i="7"/>
  <c r="AX19" i="7"/>
  <c r="AY18" i="7"/>
  <c r="AZ17" i="7"/>
  <c r="BA16" i="7"/>
  <c r="BB15" i="7"/>
  <c r="BC14" i="7"/>
  <c r="BD13" i="7"/>
  <c r="BE12" i="7"/>
  <c r="BF11" i="7"/>
  <c r="BG10" i="7"/>
  <c r="BH9" i="7"/>
  <c r="AA42" i="7"/>
  <c r="AB42" i="7"/>
  <c r="AC41" i="7"/>
  <c r="AD40" i="7"/>
  <c r="AE39" i="7"/>
  <c r="AF38" i="7"/>
  <c r="AG37" i="7"/>
  <c r="AH36" i="7"/>
  <c r="AI35" i="7"/>
  <c r="AJ34" i="7"/>
  <c r="AK33" i="7"/>
  <c r="AL32" i="7"/>
  <c r="AM31" i="7"/>
  <c r="AN30" i="7"/>
  <c r="AO29" i="7"/>
  <c r="AP28" i="7"/>
  <c r="AQ27" i="7"/>
  <c r="AR26" i="7"/>
  <c r="AS25" i="7"/>
  <c r="AT24" i="7"/>
  <c r="AU23" i="7"/>
  <c r="AV22" i="7"/>
  <c r="AW21" i="7"/>
  <c r="AX20" i="7"/>
  <c r="AY19" i="7"/>
  <c r="AZ18" i="7"/>
  <c r="BA17" i="7"/>
  <c r="BB16" i="7"/>
  <c r="BC15" i="7"/>
  <c r="BD14" i="7"/>
  <c r="BE13" i="7"/>
  <c r="BF12" i="7"/>
  <c r="BG11" i="7"/>
  <c r="BH10" i="7"/>
  <c r="BI9" i="7"/>
  <c r="AA43" i="7"/>
  <c r="AB43" i="7"/>
  <c r="AC42" i="7"/>
  <c r="AD41" i="7"/>
  <c r="AE40" i="7"/>
  <c r="AF39" i="7"/>
  <c r="AG38" i="7"/>
  <c r="AH37" i="7"/>
  <c r="AI36" i="7"/>
  <c r="AJ35" i="7"/>
  <c r="AK34" i="7"/>
  <c r="AL33" i="7"/>
  <c r="AM32" i="7"/>
  <c r="AN31" i="7"/>
  <c r="AO30" i="7"/>
  <c r="AP29" i="7"/>
  <c r="AQ28" i="7"/>
  <c r="AR27" i="7"/>
  <c r="AS26" i="7"/>
  <c r="AT25" i="7"/>
  <c r="AU24" i="7"/>
  <c r="AV23" i="7"/>
  <c r="AW22" i="7"/>
  <c r="AX21" i="7"/>
  <c r="AY20" i="7"/>
  <c r="AZ19" i="7"/>
  <c r="BA18" i="7"/>
  <c r="BB17" i="7"/>
  <c r="BC16" i="7"/>
  <c r="BD15" i="7"/>
  <c r="BE14" i="7"/>
  <c r="BF13" i="7"/>
  <c r="BG12" i="7"/>
  <c r="BH11" i="7"/>
  <c r="BI10" i="7"/>
  <c r="BJ9" i="7"/>
  <c r="AA44" i="7"/>
  <c r="AB44" i="7"/>
  <c r="AC43" i="7"/>
  <c r="AD42" i="7"/>
  <c r="AE41" i="7"/>
  <c r="AF40" i="7"/>
  <c r="AG39" i="7"/>
  <c r="AH38" i="7"/>
  <c r="AI37" i="7"/>
  <c r="AJ36" i="7"/>
  <c r="AK35" i="7"/>
  <c r="AL34" i="7"/>
  <c r="AM33" i="7"/>
  <c r="AN32" i="7"/>
  <c r="AO31" i="7"/>
  <c r="AP30" i="7"/>
  <c r="AQ29" i="7"/>
  <c r="AR28" i="7"/>
  <c r="AS27" i="7"/>
  <c r="AT26" i="7"/>
  <c r="AU25" i="7"/>
  <c r="AV24" i="7"/>
  <c r="AW23" i="7"/>
  <c r="AX22" i="7"/>
  <c r="AY21" i="7"/>
  <c r="AZ20" i="7"/>
  <c r="BA19" i="7"/>
  <c r="BB18" i="7"/>
  <c r="BC17" i="7"/>
  <c r="BD16" i="7"/>
  <c r="BE15" i="7"/>
  <c r="BF14" i="7"/>
  <c r="BG13" i="7"/>
  <c r="BH12" i="7"/>
  <c r="BI11" i="7"/>
  <c r="BJ10" i="7"/>
  <c r="BK9" i="7"/>
  <c r="AA45" i="7"/>
  <c r="AB45" i="7"/>
  <c r="AC44" i="7"/>
  <c r="AD43" i="7"/>
  <c r="AE42" i="7"/>
  <c r="AF41" i="7"/>
  <c r="AG40" i="7"/>
  <c r="AH39" i="7"/>
  <c r="AI38" i="7"/>
  <c r="AJ37" i="7"/>
  <c r="AK36" i="7"/>
  <c r="AL35" i="7"/>
  <c r="AM34" i="7"/>
  <c r="AN33" i="7"/>
  <c r="AO32" i="7"/>
  <c r="AP31" i="7"/>
  <c r="AQ30" i="7"/>
  <c r="AR29" i="7"/>
  <c r="AS28" i="7"/>
  <c r="AT27" i="7"/>
  <c r="AU26" i="7"/>
  <c r="AV25" i="7"/>
  <c r="AW24" i="7"/>
  <c r="AX23" i="7"/>
  <c r="AY22" i="7"/>
  <c r="AZ21" i="7"/>
  <c r="BA20" i="7"/>
  <c r="BB19" i="7"/>
  <c r="BC18" i="7"/>
  <c r="BD17" i="7"/>
  <c r="BE16" i="7"/>
  <c r="BF15" i="7"/>
  <c r="BG14" i="7"/>
  <c r="BH13" i="7"/>
  <c r="BI12" i="7"/>
  <c r="BJ11" i="7"/>
  <c r="BK10" i="7"/>
  <c r="BL9" i="7"/>
  <c r="AA46" i="7"/>
  <c r="AB46" i="7"/>
  <c r="AC45" i="7"/>
  <c r="AD44" i="7"/>
  <c r="AE43" i="7"/>
  <c r="AF42" i="7"/>
  <c r="AG41" i="7"/>
  <c r="AH40" i="7"/>
  <c r="AI39" i="7"/>
  <c r="AJ38" i="7"/>
  <c r="AK37" i="7"/>
  <c r="AL36" i="7"/>
  <c r="AM35" i="7"/>
  <c r="AN34" i="7"/>
  <c r="AO33" i="7"/>
  <c r="AP32" i="7"/>
  <c r="AQ31" i="7"/>
  <c r="AR30" i="7"/>
  <c r="AS29" i="7"/>
  <c r="AT28" i="7"/>
  <c r="AU27" i="7"/>
  <c r="AV26" i="7"/>
  <c r="AW25" i="7"/>
  <c r="AX24" i="7"/>
  <c r="AY23" i="7"/>
  <c r="AZ22" i="7"/>
  <c r="BA21" i="7"/>
  <c r="BB20" i="7"/>
  <c r="BC19" i="7"/>
  <c r="BD18" i="7"/>
  <c r="BE17" i="7"/>
  <c r="BF16" i="7"/>
  <c r="BG15" i="7"/>
  <c r="BH14" i="7"/>
  <c r="BI13" i="7"/>
  <c r="BJ12" i="7"/>
  <c r="BK11" i="7"/>
  <c r="BL10" i="7"/>
  <c r="BM9" i="7"/>
  <c r="AA47" i="7"/>
  <c r="AB47" i="7"/>
  <c r="AC46" i="7"/>
  <c r="AD45" i="7"/>
  <c r="AE44" i="7"/>
  <c r="AF43" i="7"/>
  <c r="AG42" i="7"/>
  <c r="AH41" i="7"/>
  <c r="AI40" i="7"/>
  <c r="AJ39" i="7"/>
  <c r="AK38" i="7"/>
  <c r="AL37" i="7"/>
  <c r="AM36" i="7"/>
  <c r="AN35" i="7"/>
  <c r="AO34" i="7"/>
  <c r="AP33" i="7"/>
  <c r="AQ32" i="7"/>
  <c r="AR31" i="7"/>
  <c r="AS30" i="7"/>
  <c r="AT29" i="7"/>
  <c r="AU28" i="7"/>
  <c r="AV27" i="7"/>
  <c r="AW26" i="7"/>
  <c r="AX25" i="7"/>
  <c r="AY24" i="7"/>
  <c r="AZ23" i="7"/>
  <c r="BA22" i="7"/>
  <c r="BB21" i="7"/>
  <c r="BC20" i="7"/>
  <c r="BD19" i="7"/>
  <c r="BE18" i="7"/>
  <c r="BF17" i="7"/>
  <c r="BG16" i="7"/>
  <c r="BH15" i="7"/>
  <c r="BI14" i="7"/>
  <c r="BJ13" i="7"/>
  <c r="BK12" i="7"/>
  <c r="BL11" i="7"/>
  <c r="BM10" i="7"/>
  <c r="BN9" i="7"/>
  <c r="AA48" i="7"/>
  <c r="AB48" i="7"/>
  <c r="AC47" i="7"/>
  <c r="AD46" i="7"/>
  <c r="AE45" i="7"/>
  <c r="AF44" i="7"/>
  <c r="AG43" i="7"/>
  <c r="AH42" i="7"/>
  <c r="AI41" i="7"/>
  <c r="AJ40" i="7"/>
  <c r="AK39" i="7"/>
  <c r="AL38" i="7"/>
  <c r="AM37" i="7"/>
  <c r="AN36" i="7"/>
  <c r="AO35" i="7"/>
  <c r="AP34" i="7"/>
  <c r="AQ33" i="7"/>
  <c r="AR32" i="7"/>
  <c r="AS31" i="7"/>
  <c r="AT30" i="7"/>
  <c r="AU29" i="7"/>
  <c r="AV28" i="7"/>
  <c r="AW27" i="7"/>
  <c r="AX26" i="7"/>
  <c r="AY25" i="7"/>
  <c r="AZ24" i="7"/>
  <c r="BA23" i="7"/>
  <c r="BB22" i="7"/>
  <c r="BC21" i="7"/>
  <c r="BD20" i="7"/>
  <c r="BE19" i="7"/>
  <c r="BF18" i="7"/>
  <c r="BG17" i="7"/>
  <c r="BH16" i="7"/>
  <c r="BI15" i="7"/>
  <c r="BJ14" i="7"/>
  <c r="BK13" i="7"/>
  <c r="BL12" i="7"/>
  <c r="BM11" i="7"/>
  <c r="BN10" i="7"/>
  <c r="BO9" i="7"/>
  <c r="AA49" i="7"/>
  <c r="AB49" i="7"/>
  <c r="AC48" i="7"/>
  <c r="AD47" i="7"/>
  <c r="AE46" i="7"/>
  <c r="AF45" i="7"/>
  <c r="AG44" i="7"/>
  <c r="AH43" i="7"/>
  <c r="AI42" i="7"/>
  <c r="AJ41" i="7"/>
  <c r="AK40" i="7"/>
  <c r="AL39" i="7"/>
  <c r="AM38" i="7"/>
  <c r="AN37" i="7"/>
  <c r="AO36" i="7"/>
  <c r="AP35" i="7"/>
  <c r="AQ34" i="7"/>
  <c r="AR33" i="7"/>
  <c r="AS32" i="7"/>
  <c r="AT31" i="7"/>
  <c r="AU30" i="7"/>
  <c r="AV29" i="7"/>
  <c r="AW28" i="7"/>
  <c r="AX27" i="7"/>
  <c r="AY26" i="7"/>
  <c r="AZ25" i="7"/>
  <c r="BA24" i="7"/>
  <c r="BB23" i="7"/>
  <c r="BC22" i="7"/>
  <c r="BD21" i="7"/>
  <c r="BE20" i="7"/>
  <c r="BF19" i="7"/>
  <c r="BG18" i="7"/>
  <c r="BH17" i="7"/>
  <c r="BI16" i="7"/>
  <c r="BJ15" i="7"/>
  <c r="BK14" i="7"/>
  <c r="BL13" i="7"/>
  <c r="BM12" i="7"/>
  <c r="BN11" i="7"/>
  <c r="BO10" i="7"/>
  <c r="BP9" i="7"/>
  <c r="AA50" i="7"/>
  <c r="AB50" i="7"/>
  <c r="AC49" i="7"/>
  <c r="AD48" i="7"/>
  <c r="AE47" i="7"/>
  <c r="AF46" i="7"/>
  <c r="AG45" i="7"/>
  <c r="AH44" i="7"/>
  <c r="AI43" i="7"/>
  <c r="AJ42" i="7"/>
  <c r="AK41" i="7"/>
  <c r="AL40" i="7"/>
  <c r="AM39" i="7"/>
  <c r="AN38" i="7"/>
  <c r="AO37" i="7"/>
  <c r="AP36" i="7"/>
  <c r="AQ35" i="7"/>
  <c r="AR34" i="7"/>
  <c r="AS33" i="7"/>
  <c r="AT32" i="7"/>
  <c r="AU31" i="7"/>
  <c r="AV30" i="7"/>
  <c r="AW29" i="7"/>
  <c r="AX28" i="7"/>
  <c r="AY27" i="7"/>
  <c r="AZ26" i="7"/>
  <c r="BA25" i="7"/>
  <c r="BB24" i="7"/>
  <c r="BC23" i="7"/>
  <c r="BD22" i="7"/>
  <c r="BE21" i="7"/>
  <c r="BF20" i="7"/>
  <c r="BG19" i="7"/>
  <c r="BH18" i="7"/>
  <c r="BI17" i="7"/>
  <c r="BJ16" i="7"/>
  <c r="BK15" i="7"/>
  <c r="BL14" i="7"/>
  <c r="BM13" i="7"/>
  <c r="BN12" i="7"/>
  <c r="BO11" i="7"/>
  <c r="BP10" i="7"/>
  <c r="BQ9" i="7"/>
  <c r="AA51" i="7"/>
  <c r="AB51" i="7"/>
  <c r="AC50" i="7"/>
  <c r="AD49" i="7"/>
  <c r="AE48" i="7"/>
  <c r="AF47" i="7"/>
  <c r="AG46" i="7"/>
  <c r="AH45" i="7"/>
  <c r="AI44" i="7"/>
  <c r="AJ43" i="7"/>
  <c r="AK42" i="7"/>
  <c r="AL41" i="7"/>
  <c r="AM40" i="7"/>
  <c r="AN39" i="7"/>
  <c r="AO38" i="7"/>
  <c r="AP37" i="7"/>
  <c r="AQ36" i="7"/>
  <c r="AR35" i="7"/>
  <c r="AS34" i="7"/>
  <c r="AT33" i="7"/>
  <c r="AU32" i="7"/>
  <c r="AV31" i="7"/>
  <c r="AW30" i="7"/>
  <c r="AX29" i="7"/>
  <c r="AY28" i="7"/>
  <c r="AZ27" i="7"/>
  <c r="BA26" i="7"/>
  <c r="BB25" i="7"/>
  <c r="BC24" i="7"/>
  <c r="BD23" i="7"/>
  <c r="BE22" i="7"/>
  <c r="BF21" i="7"/>
  <c r="BG20" i="7"/>
  <c r="BH19" i="7"/>
  <c r="BI18" i="7"/>
  <c r="BJ17" i="7"/>
  <c r="BK16" i="7"/>
  <c r="BL15" i="7"/>
  <c r="BM14" i="7"/>
  <c r="BN13" i="7"/>
  <c r="BO12" i="7"/>
  <c r="BP11" i="7"/>
  <c r="BQ10" i="7"/>
  <c r="BR9" i="7"/>
  <c r="AA52" i="7"/>
  <c r="AB52" i="7"/>
  <c r="AC51" i="7"/>
  <c r="AD50" i="7"/>
  <c r="AE49" i="7"/>
  <c r="AF48" i="7"/>
  <c r="AG47" i="7"/>
  <c r="AH46" i="7"/>
  <c r="AI45" i="7"/>
  <c r="AJ44" i="7"/>
  <c r="AK43" i="7"/>
  <c r="AL42" i="7"/>
  <c r="AM41" i="7"/>
  <c r="AN40" i="7"/>
  <c r="AO39" i="7"/>
  <c r="AP38" i="7"/>
  <c r="AQ37" i="7"/>
  <c r="AR36" i="7"/>
  <c r="AS35" i="7"/>
  <c r="AT34" i="7"/>
  <c r="AU33" i="7"/>
  <c r="AV32" i="7"/>
  <c r="AW31" i="7"/>
  <c r="AX30" i="7"/>
  <c r="AY29" i="7"/>
  <c r="AZ28" i="7"/>
  <c r="BA27" i="7"/>
  <c r="BB26" i="7"/>
  <c r="BC25" i="7"/>
  <c r="BD24" i="7"/>
  <c r="BE23" i="7"/>
  <c r="BF22" i="7"/>
  <c r="BG21" i="7"/>
  <c r="BH20" i="7"/>
  <c r="BI19" i="7"/>
  <c r="BJ18" i="7"/>
  <c r="BK17" i="7"/>
  <c r="BL16" i="7"/>
  <c r="BM15" i="7"/>
  <c r="BN14" i="7"/>
  <c r="BO13" i="7"/>
  <c r="BP12" i="7"/>
  <c r="BQ11" i="7"/>
  <c r="BR10" i="7"/>
  <c r="BS9" i="7"/>
  <c r="AA53" i="7"/>
  <c r="AB53" i="7"/>
  <c r="AC52" i="7"/>
  <c r="AD51" i="7"/>
  <c r="AE50" i="7"/>
  <c r="AF49" i="7"/>
  <c r="AG48" i="7"/>
  <c r="AH47" i="7"/>
  <c r="AI46" i="7"/>
  <c r="AJ45" i="7"/>
  <c r="AK44" i="7"/>
  <c r="AL43" i="7"/>
  <c r="AM42" i="7"/>
  <c r="AN41" i="7"/>
  <c r="AO40" i="7"/>
  <c r="AP39" i="7"/>
  <c r="AQ38" i="7"/>
  <c r="AR37" i="7"/>
  <c r="AS36" i="7"/>
  <c r="AT35" i="7"/>
  <c r="AU34" i="7"/>
  <c r="AV33" i="7"/>
  <c r="AW32" i="7"/>
  <c r="AX31" i="7"/>
  <c r="AY30" i="7"/>
  <c r="AZ29" i="7"/>
  <c r="BA28" i="7"/>
  <c r="BB27" i="7"/>
  <c r="BC26" i="7"/>
  <c r="BD25" i="7"/>
  <c r="BE24" i="7"/>
  <c r="BF23" i="7"/>
  <c r="BG22" i="7"/>
  <c r="BH21" i="7"/>
  <c r="BI20" i="7"/>
  <c r="BJ19" i="7"/>
  <c r="BK18" i="7"/>
  <c r="BL17" i="7"/>
  <c r="BM16" i="7"/>
  <c r="BN15" i="7"/>
  <c r="BO14" i="7"/>
  <c r="BP13" i="7"/>
  <c r="BQ12" i="7"/>
  <c r="BR11" i="7"/>
  <c r="BS10" i="7"/>
  <c r="BT9" i="7"/>
  <c r="AA54" i="7"/>
  <c r="AB54" i="7"/>
  <c r="AC53" i="7"/>
  <c r="AD52" i="7"/>
  <c r="AE51" i="7"/>
  <c r="AF50" i="7"/>
  <c r="AG49" i="7"/>
  <c r="AH48" i="7"/>
  <c r="AI47" i="7"/>
  <c r="AJ46" i="7"/>
  <c r="AK45" i="7"/>
  <c r="AL44" i="7"/>
  <c r="AM43" i="7"/>
  <c r="AN42" i="7"/>
  <c r="AO41" i="7"/>
  <c r="AP40" i="7"/>
  <c r="AQ39" i="7"/>
  <c r="AR38" i="7"/>
  <c r="AS37" i="7"/>
  <c r="AT36" i="7"/>
  <c r="AU35" i="7"/>
  <c r="AV34" i="7"/>
  <c r="AW33" i="7"/>
  <c r="AX32" i="7"/>
  <c r="AY31" i="7"/>
  <c r="AZ30" i="7"/>
  <c r="BA29" i="7"/>
  <c r="BB28" i="7"/>
  <c r="BC27" i="7"/>
  <c r="BD26" i="7"/>
  <c r="BE25" i="7"/>
  <c r="BF24" i="7"/>
  <c r="BG23" i="7"/>
  <c r="BH22" i="7"/>
  <c r="BI21" i="7"/>
  <c r="BJ20" i="7"/>
  <c r="BK19" i="7"/>
  <c r="BL18" i="7"/>
  <c r="BM17" i="7"/>
  <c r="BN16" i="7"/>
  <c r="BO15" i="7"/>
  <c r="BP14" i="7"/>
  <c r="BQ13" i="7"/>
  <c r="BR12" i="7"/>
  <c r="BS11" i="7"/>
  <c r="BT10" i="7"/>
  <c r="BU9" i="7"/>
  <c r="AA55" i="7"/>
  <c r="AB55" i="7"/>
  <c r="AC54" i="7"/>
  <c r="AD53" i="7"/>
  <c r="AE52" i="7"/>
  <c r="AF51" i="7"/>
  <c r="AG50" i="7"/>
  <c r="AH49" i="7"/>
  <c r="AI48" i="7"/>
  <c r="AJ47" i="7"/>
  <c r="AK46" i="7"/>
  <c r="AL45" i="7"/>
  <c r="AM44" i="7"/>
  <c r="AN43" i="7"/>
  <c r="AO42" i="7"/>
  <c r="AP41" i="7"/>
  <c r="AQ40" i="7"/>
  <c r="AR39" i="7"/>
  <c r="AS38" i="7"/>
  <c r="AT37" i="7"/>
  <c r="AU36" i="7"/>
  <c r="AV35" i="7"/>
  <c r="AW34" i="7"/>
  <c r="AX33" i="7"/>
  <c r="AY32" i="7"/>
  <c r="AZ31" i="7"/>
  <c r="BA30" i="7"/>
  <c r="BB29" i="7"/>
  <c r="BC28" i="7"/>
  <c r="BD27" i="7"/>
  <c r="BE26" i="7"/>
  <c r="BF25" i="7"/>
  <c r="BG24" i="7"/>
  <c r="BH23" i="7"/>
  <c r="BI22" i="7"/>
  <c r="BJ21" i="7"/>
  <c r="BK20" i="7"/>
  <c r="BL19" i="7"/>
  <c r="BM18" i="7"/>
  <c r="BN17" i="7"/>
  <c r="BO16" i="7"/>
  <c r="BP15" i="7"/>
  <c r="BQ14" i="7"/>
  <c r="BR13" i="7"/>
  <c r="BS12" i="7"/>
  <c r="BT11" i="7"/>
  <c r="BU10" i="7"/>
  <c r="BV9" i="7"/>
  <c r="AA56" i="7"/>
  <c r="AB56" i="7"/>
  <c r="AC55" i="7"/>
  <c r="AD54" i="7"/>
  <c r="AE53" i="7"/>
  <c r="AF52" i="7"/>
  <c r="AG51" i="7"/>
  <c r="AH50" i="7"/>
  <c r="AI49" i="7"/>
  <c r="AJ48" i="7"/>
  <c r="AK47" i="7"/>
  <c r="AL46" i="7"/>
  <c r="AM45" i="7"/>
  <c r="AN44" i="7"/>
  <c r="AO43" i="7"/>
  <c r="AP42" i="7"/>
  <c r="AQ41" i="7"/>
  <c r="AR40" i="7"/>
  <c r="AS39" i="7"/>
  <c r="AT38" i="7"/>
  <c r="AU37" i="7"/>
  <c r="AV36" i="7"/>
  <c r="AW35" i="7"/>
  <c r="AX34" i="7"/>
  <c r="AY33" i="7"/>
  <c r="AZ32" i="7"/>
  <c r="BA31" i="7"/>
  <c r="BB30" i="7"/>
  <c r="BC29" i="7"/>
  <c r="BD28" i="7"/>
  <c r="BE27" i="7"/>
  <c r="BF26" i="7"/>
  <c r="BG25" i="7"/>
  <c r="BH24" i="7"/>
  <c r="BI23" i="7"/>
  <c r="BJ22" i="7"/>
  <c r="BK21" i="7"/>
  <c r="BL20" i="7"/>
  <c r="BM19" i="7"/>
  <c r="BN18" i="7"/>
  <c r="BO17" i="7"/>
  <c r="BP16" i="7"/>
  <c r="BQ15" i="7"/>
  <c r="BR14" i="7"/>
  <c r="BS13" i="7"/>
  <c r="BT12" i="7"/>
  <c r="BU11" i="7"/>
  <c r="BV10" i="7"/>
  <c r="BW9" i="7"/>
  <c r="AA57" i="7"/>
  <c r="AB57" i="7"/>
  <c r="AC56" i="7"/>
  <c r="AD55" i="7"/>
  <c r="AE54" i="7"/>
  <c r="AF53" i="7"/>
  <c r="AG52" i="7"/>
  <c r="AH51" i="7"/>
  <c r="AI50" i="7"/>
  <c r="AJ49" i="7"/>
  <c r="AK48" i="7"/>
  <c r="AL47" i="7"/>
  <c r="AM46" i="7"/>
  <c r="AN45" i="7"/>
  <c r="AO44" i="7"/>
  <c r="AP43" i="7"/>
  <c r="AQ42" i="7"/>
  <c r="AR41" i="7"/>
  <c r="AS40" i="7"/>
  <c r="AT39" i="7"/>
  <c r="AU38" i="7"/>
  <c r="AV37" i="7"/>
  <c r="AW36" i="7"/>
  <c r="AX35" i="7"/>
  <c r="AY34" i="7"/>
  <c r="AZ33" i="7"/>
  <c r="BA32" i="7"/>
  <c r="BB31" i="7"/>
  <c r="BC30" i="7"/>
  <c r="BD29" i="7"/>
  <c r="BE28" i="7"/>
  <c r="BF27" i="7"/>
  <c r="BG26" i="7"/>
  <c r="BH25" i="7"/>
  <c r="BI24" i="7"/>
  <c r="BJ23" i="7"/>
  <c r="BK22" i="7"/>
  <c r="BL21" i="7"/>
  <c r="BM20" i="7"/>
  <c r="BN19" i="7"/>
  <c r="BO18" i="7"/>
  <c r="BP17" i="7"/>
  <c r="BQ16" i="7"/>
  <c r="BR15" i="7"/>
  <c r="BS14" i="7"/>
  <c r="BT13" i="7"/>
  <c r="BU12" i="7"/>
  <c r="BV11" i="7"/>
  <c r="BW10" i="7"/>
  <c r="BX9" i="7"/>
  <c r="AA58" i="7"/>
  <c r="AB58" i="7"/>
  <c r="AC57" i="7"/>
  <c r="AD56" i="7"/>
  <c r="AE55" i="7"/>
  <c r="AF54" i="7"/>
  <c r="AG53" i="7"/>
  <c r="AH52" i="7"/>
  <c r="AI51" i="7"/>
  <c r="AJ50" i="7"/>
  <c r="AK49" i="7"/>
  <c r="AL48" i="7"/>
  <c r="AM47" i="7"/>
  <c r="AN46" i="7"/>
  <c r="AO45" i="7"/>
  <c r="AP44" i="7"/>
  <c r="AQ43" i="7"/>
  <c r="AR42" i="7"/>
  <c r="AS41" i="7"/>
  <c r="AT40" i="7"/>
  <c r="AU39" i="7"/>
  <c r="AV38" i="7"/>
  <c r="AW37" i="7"/>
  <c r="AX36" i="7"/>
  <c r="AY35" i="7"/>
  <c r="AZ34" i="7"/>
  <c r="BA33" i="7"/>
  <c r="BB32" i="7"/>
  <c r="BC31" i="7"/>
  <c r="BD30" i="7"/>
  <c r="BE29" i="7"/>
  <c r="BF28" i="7"/>
  <c r="BG27" i="7"/>
  <c r="BH26" i="7"/>
  <c r="BI25" i="7"/>
  <c r="BJ24" i="7"/>
  <c r="BK23" i="7"/>
  <c r="BL22" i="7"/>
  <c r="BM21" i="7"/>
  <c r="BN20" i="7"/>
  <c r="BO19" i="7"/>
  <c r="BP18" i="7"/>
  <c r="BQ17" i="7"/>
  <c r="BR16" i="7"/>
  <c r="BS15" i="7"/>
  <c r="BT14" i="7"/>
  <c r="BU13" i="7"/>
  <c r="BV12" i="7"/>
  <c r="BW11" i="7"/>
  <c r="BX10" i="7"/>
  <c r="BY9" i="7"/>
  <c r="AA59" i="7"/>
  <c r="AB59" i="7"/>
  <c r="AC58" i="7"/>
  <c r="AD57" i="7"/>
  <c r="AE56" i="7"/>
  <c r="AF55" i="7"/>
  <c r="AG54" i="7"/>
  <c r="AH53" i="7"/>
  <c r="AI52" i="7"/>
  <c r="AJ51" i="7"/>
  <c r="AK50" i="7"/>
  <c r="AL49" i="7"/>
  <c r="AM48" i="7"/>
  <c r="AN47" i="7"/>
  <c r="AO46" i="7"/>
  <c r="AP45" i="7"/>
  <c r="AQ44" i="7"/>
  <c r="AR43" i="7"/>
  <c r="AS42" i="7"/>
  <c r="AT41" i="7"/>
  <c r="AU40" i="7"/>
  <c r="AV39" i="7"/>
  <c r="AW38" i="7"/>
  <c r="AX37" i="7"/>
  <c r="AY36" i="7"/>
  <c r="AZ35" i="7"/>
  <c r="BA34" i="7"/>
  <c r="BB33" i="7"/>
  <c r="BC32" i="7"/>
  <c r="BD31" i="7"/>
  <c r="BE30" i="7"/>
  <c r="BF29" i="7"/>
  <c r="BG28" i="7"/>
  <c r="BH27" i="7"/>
  <c r="BI26" i="7"/>
  <c r="BJ25" i="7"/>
  <c r="BK24" i="7"/>
  <c r="BL23" i="7"/>
  <c r="BM22" i="7"/>
  <c r="BN21" i="7"/>
  <c r="BO20" i="7"/>
  <c r="BP19" i="7"/>
  <c r="BQ18" i="7"/>
  <c r="BR17" i="7"/>
  <c r="BS16" i="7"/>
  <c r="BT15" i="7"/>
  <c r="BU14" i="7"/>
  <c r="BV13" i="7"/>
  <c r="BW12" i="7"/>
  <c r="BX11" i="7"/>
  <c r="BY10" i="7"/>
  <c r="BZ9" i="7"/>
  <c r="AA60" i="7"/>
  <c r="AB60" i="7"/>
  <c r="AC59" i="7"/>
  <c r="AD58" i="7"/>
  <c r="AE57" i="7"/>
  <c r="AF56" i="7"/>
  <c r="AG55" i="7"/>
  <c r="AH54" i="7"/>
  <c r="AI53" i="7"/>
  <c r="AJ52" i="7"/>
  <c r="AK51" i="7"/>
  <c r="AL50" i="7"/>
  <c r="AM49" i="7"/>
  <c r="AN48" i="7"/>
  <c r="AO47" i="7"/>
  <c r="AP46" i="7"/>
  <c r="AQ45" i="7"/>
  <c r="AR44" i="7"/>
  <c r="AS43" i="7"/>
  <c r="AT42" i="7"/>
  <c r="AU41" i="7"/>
  <c r="AV40" i="7"/>
  <c r="AW39" i="7"/>
  <c r="AX38" i="7"/>
  <c r="AY37" i="7"/>
  <c r="AZ36" i="7"/>
  <c r="BA35" i="7"/>
  <c r="BB34" i="7"/>
  <c r="BC33" i="7"/>
  <c r="BD32" i="7"/>
  <c r="BE31" i="7"/>
  <c r="BF30" i="7"/>
  <c r="BG29" i="7"/>
  <c r="BH28" i="7"/>
  <c r="BI27" i="7"/>
  <c r="BJ26" i="7"/>
  <c r="BK25" i="7"/>
  <c r="BL24" i="7"/>
  <c r="BM23" i="7"/>
  <c r="BN22" i="7"/>
  <c r="BO21" i="7"/>
  <c r="BP20" i="7"/>
  <c r="BQ19" i="7"/>
  <c r="BR18" i="7"/>
  <c r="BS17" i="7"/>
  <c r="BT16" i="7"/>
  <c r="BU15" i="7"/>
  <c r="BV14" i="7"/>
  <c r="BW13" i="7"/>
  <c r="BX12" i="7"/>
  <c r="BY11" i="7"/>
  <c r="BZ10" i="7"/>
  <c r="CA9" i="7"/>
  <c r="AA61" i="7"/>
  <c r="AB61" i="7"/>
  <c r="AC60" i="7"/>
  <c r="AD59" i="7"/>
  <c r="AE58" i="7"/>
  <c r="AF57" i="7"/>
  <c r="AG56" i="7"/>
  <c r="AH55" i="7"/>
  <c r="AI54" i="7"/>
  <c r="AJ53" i="7"/>
  <c r="AK52" i="7"/>
  <c r="AL51" i="7"/>
  <c r="AM50" i="7"/>
  <c r="AN49" i="7"/>
  <c r="AO48" i="7"/>
  <c r="AP47" i="7"/>
  <c r="AQ46" i="7"/>
  <c r="AR45" i="7"/>
  <c r="AS44" i="7"/>
  <c r="AT43" i="7"/>
  <c r="AU42" i="7"/>
  <c r="AV41" i="7"/>
  <c r="AW40" i="7"/>
  <c r="AX39" i="7"/>
  <c r="AY38" i="7"/>
  <c r="AZ37" i="7"/>
  <c r="BA36" i="7"/>
  <c r="BB35" i="7"/>
  <c r="BC34" i="7"/>
  <c r="BD33" i="7"/>
  <c r="BE32" i="7"/>
  <c r="BF31" i="7"/>
  <c r="BG30" i="7"/>
  <c r="BH29" i="7"/>
  <c r="BI28" i="7"/>
  <c r="BJ27" i="7"/>
  <c r="BK26" i="7"/>
  <c r="BL25" i="7"/>
  <c r="BM24" i="7"/>
  <c r="BN23" i="7"/>
  <c r="BO22" i="7"/>
  <c r="BP21" i="7"/>
  <c r="BQ20" i="7"/>
  <c r="BR19" i="7"/>
  <c r="BS18" i="7"/>
  <c r="BT17" i="7"/>
  <c r="BU16" i="7"/>
  <c r="BV15" i="7"/>
  <c r="BW14" i="7"/>
  <c r="BX13" i="7"/>
  <c r="BY12" i="7"/>
  <c r="BZ11" i="7"/>
  <c r="CA10" i="7"/>
  <c r="CB9" i="7"/>
  <c r="AA62" i="7"/>
  <c r="AB62" i="7"/>
  <c r="AC61" i="7"/>
  <c r="AD60" i="7"/>
  <c r="AE59" i="7"/>
  <c r="AF58" i="7"/>
  <c r="AG57" i="7"/>
  <c r="AH56" i="7"/>
  <c r="AI55" i="7"/>
  <c r="AJ54" i="7"/>
  <c r="AK53" i="7"/>
  <c r="AL52" i="7"/>
  <c r="AM51" i="7"/>
  <c r="AN50" i="7"/>
  <c r="AO49" i="7"/>
  <c r="AP48" i="7"/>
  <c r="AQ47" i="7"/>
  <c r="AR46" i="7"/>
  <c r="AS45" i="7"/>
  <c r="AT44" i="7"/>
  <c r="AU43" i="7"/>
  <c r="AV42" i="7"/>
  <c r="AW41" i="7"/>
  <c r="AX40" i="7"/>
  <c r="AY39" i="7"/>
  <c r="AZ38" i="7"/>
  <c r="BA37" i="7"/>
  <c r="BB36" i="7"/>
  <c r="BC35" i="7"/>
  <c r="BD34" i="7"/>
  <c r="BE33" i="7"/>
  <c r="BF32" i="7"/>
  <c r="BG31" i="7"/>
  <c r="BH30" i="7"/>
  <c r="BI29" i="7"/>
  <c r="BJ28" i="7"/>
  <c r="BK27" i="7"/>
  <c r="BL26" i="7"/>
  <c r="BM25" i="7"/>
  <c r="BN24" i="7"/>
  <c r="BO23" i="7"/>
  <c r="BP22" i="7"/>
  <c r="BQ21" i="7"/>
  <c r="BR20" i="7"/>
  <c r="BS19" i="7"/>
  <c r="BT18" i="7"/>
  <c r="BU17" i="7"/>
  <c r="BV16" i="7"/>
  <c r="BW15" i="7"/>
  <c r="BX14" i="7"/>
  <c r="BY13" i="7"/>
  <c r="BZ12" i="7"/>
  <c r="CA11" i="7"/>
  <c r="CB10" i="7"/>
  <c r="CC9" i="7"/>
  <c r="AA63" i="7"/>
  <c r="AB63" i="7"/>
  <c r="AC62" i="7"/>
  <c r="AD61" i="7"/>
  <c r="AE60" i="7"/>
  <c r="AF59" i="7"/>
  <c r="AG58" i="7"/>
  <c r="AH57" i="7"/>
  <c r="AI56" i="7"/>
  <c r="AJ55" i="7"/>
  <c r="AK54" i="7"/>
  <c r="AL53" i="7"/>
  <c r="AM52" i="7"/>
  <c r="AN51" i="7"/>
  <c r="AO50" i="7"/>
  <c r="AP49" i="7"/>
  <c r="AQ48" i="7"/>
  <c r="AR47" i="7"/>
  <c r="AS46" i="7"/>
  <c r="AT45" i="7"/>
  <c r="AU44" i="7"/>
  <c r="AV43" i="7"/>
  <c r="AW42" i="7"/>
  <c r="AX41" i="7"/>
  <c r="AY40" i="7"/>
  <c r="AZ39" i="7"/>
  <c r="BA38" i="7"/>
  <c r="BB37" i="7"/>
  <c r="BC36" i="7"/>
  <c r="BD35" i="7"/>
  <c r="BE34" i="7"/>
  <c r="BF33" i="7"/>
  <c r="BG32" i="7"/>
  <c r="BH31" i="7"/>
  <c r="BI30" i="7"/>
  <c r="BJ29" i="7"/>
  <c r="BK28" i="7"/>
  <c r="BL27" i="7"/>
  <c r="BM26" i="7"/>
  <c r="BN25" i="7"/>
  <c r="BO24" i="7"/>
  <c r="BP23" i="7"/>
  <c r="BQ22" i="7"/>
  <c r="BR21" i="7"/>
  <c r="BS20" i="7"/>
  <c r="BT19" i="7"/>
  <c r="BU18" i="7"/>
  <c r="BV17" i="7"/>
  <c r="BW16" i="7"/>
  <c r="BX15" i="7"/>
  <c r="BY14" i="7"/>
  <c r="BZ13" i="7"/>
  <c r="CA12" i="7"/>
  <c r="CB11" i="7"/>
  <c r="CC10" i="7"/>
  <c r="CD9" i="7"/>
  <c r="AA64" i="7"/>
  <c r="AB64" i="7"/>
  <c r="AC63" i="7"/>
  <c r="AD62" i="7"/>
  <c r="AE61" i="7"/>
  <c r="AF60" i="7"/>
  <c r="AG59" i="7"/>
  <c r="AH58" i="7"/>
  <c r="AI57" i="7"/>
  <c r="AJ56" i="7"/>
  <c r="AK55" i="7"/>
  <c r="AL54" i="7"/>
  <c r="AM53" i="7"/>
  <c r="AN52" i="7"/>
  <c r="AO51" i="7"/>
  <c r="AP50" i="7"/>
  <c r="AQ49" i="7"/>
  <c r="AR48" i="7"/>
  <c r="AS47" i="7"/>
  <c r="AT46" i="7"/>
  <c r="AU45" i="7"/>
  <c r="AV44" i="7"/>
  <c r="AW43" i="7"/>
  <c r="AX42" i="7"/>
  <c r="AY41" i="7"/>
  <c r="AZ40" i="7"/>
  <c r="BA39" i="7"/>
  <c r="BB38" i="7"/>
  <c r="BC37" i="7"/>
  <c r="BD36" i="7"/>
  <c r="BE35" i="7"/>
  <c r="BF34" i="7"/>
  <c r="BG33" i="7"/>
  <c r="BH32" i="7"/>
  <c r="BI31" i="7"/>
  <c r="BJ30" i="7"/>
  <c r="BK29" i="7"/>
  <c r="BL28" i="7"/>
  <c r="BM27" i="7"/>
  <c r="BN26" i="7"/>
  <c r="BO25" i="7"/>
  <c r="BP24" i="7"/>
  <c r="BQ23" i="7"/>
  <c r="BR22" i="7"/>
  <c r="BS21" i="7"/>
  <c r="BT20" i="7"/>
  <c r="BU19" i="7"/>
  <c r="BV18" i="7"/>
  <c r="BW17" i="7"/>
  <c r="BX16" i="7"/>
  <c r="BY15" i="7"/>
  <c r="BZ14" i="7"/>
  <c r="CA13" i="7"/>
  <c r="CB12" i="7"/>
  <c r="CC11" i="7"/>
  <c r="CD10" i="7"/>
  <c r="CE9" i="7"/>
  <c r="AA65" i="7"/>
  <c r="AB65" i="7"/>
  <c r="AC64" i="7"/>
  <c r="AD63" i="7"/>
  <c r="AE62" i="7"/>
  <c r="AF61" i="7"/>
  <c r="AG60" i="7"/>
  <c r="AH59" i="7"/>
  <c r="AI58" i="7"/>
  <c r="AJ57" i="7"/>
  <c r="AK56" i="7"/>
  <c r="AL55" i="7"/>
  <c r="AM54" i="7"/>
  <c r="AN53" i="7"/>
  <c r="AO52" i="7"/>
  <c r="AP51" i="7"/>
  <c r="AQ50" i="7"/>
  <c r="AR49" i="7"/>
  <c r="AS48" i="7"/>
  <c r="AT47" i="7"/>
  <c r="AU46" i="7"/>
  <c r="AV45" i="7"/>
  <c r="AW44" i="7"/>
  <c r="AX43" i="7"/>
  <c r="AY42" i="7"/>
  <c r="AZ41" i="7"/>
  <c r="BA40" i="7"/>
  <c r="BB39" i="7"/>
  <c r="BC38" i="7"/>
  <c r="BD37" i="7"/>
  <c r="BE36" i="7"/>
  <c r="BF35" i="7"/>
  <c r="BG34" i="7"/>
  <c r="BH33" i="7"/>
  <c r="BI32" i="7"/>
  <c r="BJ31" i="7"/>
  <c r="BK30" i="7"/>
  <c r="BL29" i="7"/>
  <c r="BM28" i="7"/>
  <c r="BN27" i="7"/>
  <c r="BO26" i="7"/>
  <c r="BP25" i="7"/>
  <c r="BQ24" i="7"/>
  <c r="BR23" i="7"/>
  <c r="BS22" i="7"/>
  <c r="BT21" i="7"/>
  <c r="BU20" i="7"/>
  <c r="BV19" i="7"/>
  <c r="BW18" i="7"/>
  <c r="BX17" i="7"/>
  <c r="BY16" i="7"/>
  <c r="BZ15" i="7"/>
  <c r="CA14" i="7"/>
  <c r="CB13" i="7"/>
  <c r="CC12" i="7"/>
  <c r="CD11" i="7"/>
  <c r="CE10" i="7"/>
  <c r="CF9" i="7"/>
  <c r="AA66" i="7"/>
  <c r="AB66" i="7"/>
  <c r="AC65" i="7"/>
  <c r="AD64" i="7"/>
  <c r="AE63" i="7"/>
  <c r="AF62" i="7"/>
  <c r="AG61" i="7"/>
  <c r="AH60" i="7"/>
  <c r="AI59" i="7"/>
  <c r="AJ58" i="7"/>
  <c r="AK57" i="7"/>
  <c r="AL56" i="7"/>
  <c r="AM55" i="7"/>
  <c r="AN54" i="7"/>
  <c r="AO53" i="7"/>
  <c r="AP52" i="7"/>
  <c r="AQ51" i="7"/>
  <c r="AR50" i="7"/>
  <c r="AS49" i="7"/>
  <c r="AT48" i="7"/>
  <c r="AU47" i="7"/>
  <c r="AV46" i="7"/>
  <c r="AW45" i="7"/>
  <c r="AX44" i="7"/>
  <c r="AY43" i="7"/>
  <c r="AZ42" i="7"/>
  <c r="BA41" i="7"/>
  <c r="BB40" i="7"/>
  <c r="BC39" i="7"/>
  <c r="BD38" i="7"/>
  <c r="BE37" i="7"/>
  <c r="BF36" i="7"/>
  <c r="BG35" i="7"/>
  <c r="BH34" i="7"/>
  <c r="BI33" i="7"/>
  <c r="BJ32" i="7"/>
  <c r="BK31" i="7"/>
  <c r="BL30" i="7"/>
  <c r="BM29" i="7"/>
  <c r="BN28" i="7"/>
  <c r="BO27" i="7"/>
  <c r="BP26" i="7"/>
  <c r="BQ25" i="7"/>
  <c r="BR24" i="7"/>
  <c r="BS23" i="7"/>
  <c r="BT22" i="7"/>
  <c r="BU21" i="7"/>
  <c r="BV20" i="7"/>
  <c r="BW19" i="7"/>
  <c r="BX18" i="7"/>
  <c r="BY17" i="7"/>
  <c r="BZ16" i="7"/>
  <c r="CA15" i="7"/>
  <c r="CB14" i="7"/>
  <c r="CC13" i="7"/>
  <c r="CD12" i="7"/>
  <c r="CE11" i="7"/>
  <c r="CF10" i="7"/>
  <c r="CG9" i="7"/>
  <c r="AA67" i="7"/>
  <c r="AB67" i="7"/>
  <c r="AC66" i="7"/>
  <c r="AD65" i="7"/>
  <c r="AE64" i="7"/>
  <c r="AF63" i="7"/>
  <c r="AG62" i="7"/>
  <c r="AH61" i="7"/>
  <c r="AI60" i="7"/>
  <c r="AJ59" i="7"/>
  <c r="AK58" i="7"/>
  <c r="AL57" i="7"/>
  <c r="AM56" i="7"/>
  <c r="AN55" i="7"/>
  <c r="AO54" i="7"/>
  <c r="AP53" i="7"/>
  <c r="AQ52" i="7"/>
  <c r="AR51" i="7"/>
  <c r="AS50" i="7"/>
  <c r="AT49" i="7"/>
  <c r="AU48" i="7"/>
  <c r="AV47" i="7"/>
  <c r="AW46" i="7"/>
  <c r="AX45" i="7"/>
  <c r="AY44" i="7"/>
  <c r="AZ43" i="7"/>
  <c r="BA42" i="7"/>
  <c r="BB41" i="7"/>
  <c r="BC40" i="7"/>
  <c r="BD39" i="7"/>
  <c r="BE38" i="7"/>
  <c r="BF37" i="7"/>
  <c r="BG36" i="7"/>
  <c r="BH35" i="7"/>
  <c r="BI34" i="7"/>
  <c r="BJ33" i="7"/>
  <c r="BK32" i="7"/>
  <c r="BL31" i="7"/>
  <c r="BM30" i="7"/>
  <c r="BN29" i="7"/>
  <c r="BO28" i="7"/>
  <c r="BP27" i="7"/>
  <c r="BQ26" i="7"/>
  <c r="BR25" i="7"/>
  <c r="BS24" i="7"/>
  <c r="BT23" i="7"/>
  <c r="BU22" i="7"/>
  <c r="BV21" i="7"/>
  <c r="BW20" i="7"/>
  <c r="BX19" i="7"/>
  <c r="BY18" i="7"/>
  <c r="BZ17" i="7"/>
  <c r="CA16" i="7"/>
  <c r="CB15" i="7"/>
  <c r="CC14" i="7"/>
  <c r="CD13" i="7"/>
  <c r="CE12" i="7"/>
  <c r="CF11" i="7"/>
  <c r="CG10" i="7"/>
  <c r="CH9" i="7"/>
  <c r="AA68" i="7"/>
  <c r="AB68" i="7"/>
  <c r="AC67" i="7"/>
  <c r="AD66" i="7"/>
  <c r="AE65" i="7"/>
  <c r="AF64" i="7"/>
  <c r="AG63" i="7"/>
  <c r="AH62" i="7"/>
  <c r="AI61" i="7"/>
  <c r="AJ60" i="7"/>
  <c r="AK59" i="7"/>
  <c r="AL58" i="7"/>
  <c r="AM57" i="7"/>
  <c r="AN56" i="7"/>
  <c r="AO55" i="7"/>
  <c r="AP54" i="7"/>
  <c r="AQ53" i="7"/>
  <c r="AR52" i="7"/>
  <c r="AS51" i="7"/>
  <c r="AT50" i="7"/>
  <c r="AU49" i="7"/>
  <c r="AV48" i="7"/>
  <c r="AW47" i="7"/>
  <c r="AX46" i="7"/>
  <c r="AY45" i="7"/>
  <c r="AZ44" i="7"/>
  <c r="BA43" i="7"/>
  <c r="BB42" i="7"/>
  <c r="BC41" i="7"/>
  <c r="BD40" i="7"/>
  <c r="BE39" i="7"/>
  <c r="BF38" i="7"/>
  <c r="BG37" i="7"/>
  <c r="BH36" i="7"/>
  <c r="BI35" i="7"/>
  <c r="BJ34" i="7"/>
  <c r="BK33" i="7"/>
  <c r="BL32" i="7"/>
  <c r="BM31" i="7"/>
  <c r="BN30" i="7"/>
  <c r="BO29" i="7"/>
  <c r="BP28" i="7"/>
  <c r="BQ27" i="7"/>
  <c r="BR26" i="7"/>
  <c r="BS25" i="7"/>
  <c r="BT24" i="7"/>
  <c r="BU23" i="7"/>
  <c r="BV22" i="7"/>
  <c r="BW21" i="7"/>
  <c r="BX20" i="7"/>
  <c r="BY19" i="7"/>
  <c r="BZ18" i="7"/>
  <c r="CA17" i="7"/>
  <c r="CB16" i="7"/>
  <c r="CC15" i="7"/>
  <c r="CD14" i="7"/>
  <c r="CE13" i="7"/>
  <c r="CF12" i="7"/>
  <c r="CG11" i="7"/>
  <c r="CH10" i="7"/>
  <c r="CI9" i="7"/>
  <c r="AA69" i="7"/>
  <c r="AB69" i="7"/>
  <c r="AC68" i="7"/>
  <c r="AD67" i="7"/>
  <c r="AE66" i="7"/>
  <c r="AF65" i="7"/>
  <c r="AG64" i="7"/>
  <c r="AH63" i="7"/>
  <c r="AI62" i="7"/>
  <c r="AJ61" i="7"/>
  <c r="AK60" i="7"/>
  <c r="AL59" i="7"/>
  <c r="AM58" i="7"/>
  <c r="AN57" i="7"/>
  <c r="AO56" i="7"/>
  <c r="AP55" i="7"/>
  <c r="AQ54" i="7"/>
  <c r="AR53" i="7"/>
  <c r="AS52" i="7"/>
  <c r="AT51" i="7"/>
  <c r="AU50" i="7"/>
  <c r="AV49" i="7"/>
  <c r="AW48" i="7"/>
  <c r="AX47" i="7"/>
  <c r="AY46" i="7"/>
  <c r="AZ45" i="7"/>
  <c r="BA44" i="7"/>
  <c r="BB43" i="7"/>
  <c r="BC42" i="7"/>
  <c r="BD41" i="7"/>
  <c r="BE40" i="7"/>
  <c r="BF39" i="7"/>
  <c r="BG38" i="7"/>
  <c r="BH37" i="7"/>
  <c r="BI36" i="7"/>
  <c r="BJ35" i="7"/>
  <c r="BK34" i="7"/>
  <c r="BL33" i="7"/>
  <c r="BM32" i="7"/>
  <c r="BN31" i="7"/>
  <c r="BO30" i="7"/>
  <c r="BP29" i="7"/>
  <c r="BQ28" i="7"/>
  <c r="BR27" i="7"/>
  <c r="BS26" i="7"/>
  <c r="BT25" i="7"/>
  <c r="BU24" i="7"/>
  <c r="BV23" i="7"/>
  <c r="BW22" i="7"/>
  <c r="BX21" i="7"/>
  <c r="BY20" i="7"/>
  <c r="BZ19" i="7"/>
  <c r="CA18" i="7"/>
  <c r="CB17" i="7"/>
  <c r="CC16" i="7"/>
  <c r="CD15" i="7"/>
  <c r="CE14" i="7"/>
  <c r="CF13" i="7"/>
  <c r="CG12" i="7"/>
  <c r="CH11" i="7"/>
  <c r="CI10" i="7"/>
  <c r="CJ9" i="7"/>
  <c r="AA70" i="7"/>
  <c r="AB70" i="7"/>
  <c r="AC69" i="7"/>
  <c r="AD68" i="7"/>
  <c r="AE67" i="7"/>
  <c r="AF66" i="7"/>
  <c r="AG65" i="7"/>
  <c r="AH64" i="7"/>
  <c r="AI63" i="7"/>
  <c r="AJ62" i="7"/>
  <c r="AK61" i="7"/>
  <c r="AL60" i="7"/>
  <c r="AM59" i="7"/>
  <c r="AN58" i="7"/>
  <c r="AO57" i="7"/>
  <c r="AP56" i="7"/>
  <c r="AQ55" i="7"/>
  <c r="AR54" i="7"/>
  <c r="AS53" i="7"/>
  <c r="AT52" i="7"/>
  <c r="AU51" i="7"/>
  <c r="AV50" i="7"/>
  <c r="AW49" i="7"/>
  <c r="AX48" i="7"/>
  <c r="AY47" i="7"/>
  <c r="AZ46" i="7"/>
  <c r="BA45" i="7"/>
  <c r="BB44" i="7"/>
  <c r="BC43" i="7"/>
  <c r="BD42" i="7"/>
  <c r="BE41" i="7"/>
  <c r="BF40" i="7"/>
  <c r="BG39" i="7"/>
  <c r="BH38" i="7"/>
  <c r="BI37" i="7"/>
  <c r="BJ36" i="7"/>
  <c r="BK35" i="7"/>
  <c r="BL34" i="7"/>
  <c r="BM33" i="7"/>
  <c r="BN32" i="7"/>
  <c r="BO31" i="7"/>
  <c r="BP30" i="7"/>
  <c r="BQ29" i="7"/>
  <c r="BR28" i="7"/>
  <c r="BS27" i="7"/>
  <c r="BT26" i="7"/>
  <c r="BU25" i="7"/>
  <c r="BV24" i="7"/>
  <c r="BW23" i="7"/>
  <c r="BX22" i="7"/>
  <c r="BY21" i="7"/>
  <c r="BZ20" i="7"/>
  <c r="CA19" i="7"/>
  <c r="CB18" i="7"/>
  <c r="CC17" i="7"/>
  <c r="CD16" i="7"/>
  <c r="CE15" i="7"/>
  <c r="CF14" i="7"/>
  <c r="CG13" i="7"/>
  <c r="CH12" i="7"/>
  <c r="CI11" i="7"/>
  <c r="CJ10" i="7"/>
  <c r="CK9" i="7"/>
  <c r="AA71" i="7"/>
  <c r="AB71" i="7"/>
  <c r="AC70" i="7"/>
  <c r="AD69" i="7"/>
  <c r="AE68" i="7"/>
  <c r="AF67" i="7"/>
  <c r="AG66" i="7"/>
  <c r="AH65" i="7"/>
  <c r="AI64" i="7"/>
  <c r="AJ63" i="7"/>
  <c r="AK62" i="7"/>
  <c r="AL61" i="7"/>
  <c r="AM60" i="7"/>
  <c r="AN59" i="7"/>
  <c r="AO58" i="7"/>
  <c r="AP57" i="7"/>
  <c r="AQ56" i="7"/>
  <c r="AR55" i="7"/>
  <c r="AS54" i="7"/>
  <c r="AT53" i="7"/>
  <c r="AU52" i="7"/>
  <c r="AV51" i="7"/>
  <c r="AW50" i="7"/>
  <c r="AX49" i="7"/>
  <c r="AY48" i="7"/>
  <c r="AZ47" i="7"/>
  <c r="BA46" i="7"/>
  <c r="BB45" i="7"/>
  <c r="BC44" i="7"/>
  <c r="BD43" i="7"/>
  <c r="BE42" i="7"/>
  <c r="BF41" i="7"/>
  <c r="BG40" i="7"/>
  <c r="BH39" i="7"/>
  <c r="BI38" i="7"/>
  <c r="BJ37" i="7"/>
  <c r="BK36" i="7"/>
  <c r="BL35" i="7"/>
  <c r="BM34" i="7"/>
  <c r="BN33" i="7"/>
  <c r="BO32" i="7"/>
  <c r="BP31" i="7"/>
  <c r="BQ30" i="7"/>
  <c r="BR29" i="7"/>
  <c r="BS28" i="7"/>
  <c r="BT27" i="7"/>
  <c r="BU26" i="7"/>
  <c r="BV25" i="7"/>
  <c r="BW24" i="7"/>
  <c r="BX23" i="7"/>
  <c r="BY22" i="7"/>
  <c r="BZ21" i="7"/>
  <c r="CA20" i="7"/>
  <c r="CB19" i="7"/>
  <c r="CC18" i="7"/>
  <c r="CD17" i="7"/>
  <c r="CE16" i="7"/>
  <c r="CF15" i="7"/>
  <c r="CG14" i="7"/>
  <c r="CH13" i="7"/>
  <c r="CI12" i="7"/>
  <c r="CJ11" i="7"/>
  <c r="CK10" i="7"/>
  <c r="CL9" i="7"/>
  <c r="AA72" i="7"/>
  <c r="AB72" i="7"/>
  <c r="AC71" i="7"/>
  <c r="AD70" i="7"/>
  <c r="AE69" i="7"/>
  <c r="AF68" i="7"/>
  <c r="AG67" i="7"/>
  <c r="AH66" i="7"/>
  <c r="AI65" i="7"/>
  <c r="AJ64" i="7"/>
  <c r="AK63" i="7"/>
  <c r="AL62" i="7"/>
  <c r="AM61" i="7"/>
  <c r="AN60" i="7"/>
  <c r="AO59" i="7"/>
  <c r="AP58" i="7"/>
  <c r="AQ57" i="7"/>
  <c r="AR56" i="7"/>
  <c r="AS55" i="7"/>
  <c r="AT54" i="7"/>
  <c r="AU53" i="7"/>
  <c r="AV52" i="7"/>
  <c r="AW51" i="7"/>
  <c r="AX50" i="7"/>
  <c r="AY49" i="7"/>
  <c r="AZ48" i="7"/>
  <c r="BA47" i="7"/>
  <c r="BB46" i="7"/>
  <c r="BC45" i="7"/>
  <c r="BD44" i="7"/>
  <c r="BE43" i="7"/>
  <c r="BF42" i="7"/>
  <c r="BG41" i="7"/>
  <c r="BH40" i="7"/>
  <c r="BI39" i="7"/>
  <c r="BJ38" i="7"/>
  <c r="BK37" i="7"/>
  <c r="BL36" i="7"/>
  <c r="BM35" i="7"/>
  <c r="BN34" i="7"/>
  <c r="BO33" i="7"/>
  <c r="BP32" i="7"/>
  <c r="BQ31" i="7"/>
  <c r="BR30" i="7"/>
  <c r="BS29" i="7"/>
  <c r="BT28" i="7"/>
  <c r="BU27" i="7"/>
  <c r="BV26" i="7"/>
  <c r="BW25" i="7"/>
  <c r="BX24" i="7"/>
  <c r="BY23" i="7"/>
  <c r="BZ22" i="7"/>
  <c r="CA21" i="7"/>
  <c r="CB20" i="7"/>
  <c r="CC19" i="7"/>
  <c r="CD18" i="7"/>
  <c r="CE17" i="7"/>
  <c r="CF16" i="7"/>
  <c r="CG15" i="7"/>
  <c r="CH14" i="7"/>
  <c r="CI13" i="7"/>
  <c r="CJ12" i="7"/>
  <c r="CK11" i="7"/>
  <c r="CL10" i="7"/>
  <c r="CM9" i="7"/>
  <c r="AA73" i="7"/>
  <c r="AB73" i="7"/>
  <c r="AC72" i="7"/>
  <c r="AD71" i="7"/>
  <c r="AE70" i="7"/>
  <c r="AF69" i="7"/>
  <c r="AG68" i="7"/>
  <c r="AH67" i="7"/>
  <c r="AI66" i="7"/>
  <c r="AJ65" i="7"/>
  <c r="AK64" i="7"/>
  <c r="AL63" i="7"/>
  <c r="AM62" i="7"/>
  <c r="AN61" i="7"/>
  <c r="AO60" i="7"/>
  <c r="AP59" i="7"/>
  <c r="AQ58" i="7"/>
  <c r="AR57" i="7"/>
  <c r="AS56" i="7"/>
  <c r="AT55" i="7"/>
  <c r="AU54" i="7"/>
  <c r="AV53" i="7"/>
  <c r="AW52" i="7"/>
  <c r="AX51" i="7"/>
  <c r="AY50" i="7"/>
  <c r="AZ49" i="7"/>
  <c r="BA48" i="7"/>
  <c r="BB47" i="7"/>
  <c r="BC46" i="7"/>
  <c r="BD45" i="7"/>
  <c r="BE44" i="7"/>
  <c r="BF43" i="7"/>
  <c r="BG42" i="7"/>
  <c r="BH41" i="7"/>
  <c r="BI40" i="7"/>
  <c r="BJ39" i="7"/>
  <c r="BK38" i="7"/>
  <c r="BL37" i="7"/>
  <c r="BM36" i="7"/>
  <c r="BN35" i="7"/>
  <c r="BO34" i="7"/>
  <c r="BP33" i="7"/>
  <c r="BQ32" i="7"/>
  <c r="BR31" i="7"/>
  <c r="BS30" i="7"/>
  <c r="BT29" i="7"/>
  <c r="BU28" i="7"/>
  <c r="BV27" i="7"/>
  <c r="BW26" i="7"/>
  <c r="BX25" i="7"/>
  <c r="BY24" i="7"/>
  <c r="BZ23" i="7"/>
  <c r="CA22" i="7"/>
  <c r="CB21" i="7"/>
  <c r="CC20" i="7"/>
  <c r="CD19" i="7"/>
  <c r="CE18" i="7"/>
  <c r="CF17" i="7"/>
  <c r="CG16" i="7"/>
  <c r="CH15" i="7"/>
  <c r="CI14" i="7"/>
  <c r="CJ13" i="7"/>
  <c r="CK12" i="7"/>
  <c r="CL11" i="7"/>
  <c r="CM10" i="7"/>
  <c r="CN9" i="7"/>
  <c r="AA74" i="7"/>
  <c r="AB74" i="7"/>
  <c r="AC73" i="7"/>
  <c r="AD72" i="7"/>
  <c r="AE71" i="7"/>
  <c r="AF70" i="7"/>
  <c r="AG69" i="7"/>
  <c r="AH68" i="7"/>
  <c r="AI67" i="7"/>
  <c r="AJ66" i="7"/>
  <c r="AK65" i="7"/>
  <c r="AL64" i="7"/>
  <c r="AM63" i="7"/>
  <c r="AN62" i="7"/>
  <c r="AO61" i="7"/>
  <c r="AP60" i="7"/>
  <c r="AQ59" i="7"/>
  <c r="AR58" i="7"/>
  <c r="AS57" i="7"/>
  <c r="AT56" i="7"/>
  <c r="AU55" i="7"/>
  <c r="AV54" i="7"/>
  <c r="AW53" i="7"/>
  <c r="AX52" i="7"/>
  <c r="AY51" i="7"/>
  <c r="AZ50" i="7"/>
  <c r="BA49" i="7"/>
  <c r="BB48" i="7"/>
  <c r="BC47" i="7"/>
  <c r="BD46" i="7"/>
  <c r="BE45" i="7"/>
  <c r="BF44" i="7"/>
  <c r="BG43" i="7"/>
  <c r="BH42" i="7"/>
  <c r="BI41" i="7"/>
  <c r="BJ40" i="7"/>
  <c r="BK39" i="7"/>
  <c r="BL38" i="7"/>
  <c r="BM37" i="7"/>
  <c r="BN36" i="7"/>
  <c r="BO35" i="7"/>
  <c r="BP34" i="7"/>
  <c r="BQ33" i="7"/>
  <c r="BR32" i="7"/>
  <c r="BS31" i="7"/>
  <c r="BT30" i="7"/>
  <c r="BU29" i="7"/>
  <c r="BV28" i="7"/>
  <c r="BW27" i="7"/>
  <c r="BX26" i="7"/>
  <c r="BY25" i="7"/>
  <c r="BZ24" i="7"/>
  <c r="CA23" i="7"/>
  <c r="CB22" i="7"/>
  <c r="CC21" i="7"/>
  <c r="CD20" i="7"/>
  <c r="CE19" i="7"/>
  <c r="CF18" i="7"/>
  <c r="CG17" i="7"/>
  <c r="CH16" i="7"/>
  <c r="CI15" i="7"/>
  <c r="CJ14" i="7"/>
  <c r="CK13" i="7"/>
  <c r="CL12" i="7"/>
  <c r="CM11" i="7"/>
  <c r="CN10" i="7"/>
  <c r="CO9" i="7"/>
  <c r="AA75" i="7"/>
  <c r="AB75" i="7"/>
  <c r="AC74" i="7"/>
  <c r="AD73" i="7"/>
  <c r="AE72" i="7"/>
  <c r="AF71" i="7"/>
  <c r="AG70" i="7"/>
  <c r="AH69" i="7"/>
  <c r="AI68" i="7"/>
  <c r="AJ67" i="7"/>
  <c r="AK66" i="7"/>
  <c r="AL65" i="7"/>
  <c r="AM64" i="7"/>
  <c r="AN63" i="7"/>
  <c r="AO62" i="7"/>
  <c r="AP61" i="7"/>
  <c r="AQ60" i="7"/>
  <c r="AR59" i="7"/>
  <c r="AS58" i="7"/>
  <c r="AT57" i="7"/>
  <c r="AU56" i="7"/>
  <c r="AV55" i="7"/>
  <c r="AW54" i="7"/>
  <c r="AX53" i="7"/>
  <c r="AY52" i="7"/>
  <c r="AZ51" i="7"/>
  <c r="BA50" i="7"/>
  <c r="BB49" i="7"/>
  <c r="BC48" i="7"/>
  <c r="BD47" i="7"/>
  <c r="BE46" i="7"/>
  <c r="BF45" i="7"/>
  <c r="BG44" i="7"/>
  <c r="BH43" i="7"/>
  <c r="BI42" i="7"/>
  <c r="BJ41" i="7"/>
  <c r="BK40" i="7"/>
  <c r="BL39" i="7"/>
  <c r="BM38" i="7"/>
  <c r="BN37" i="7"/>
  <c r="BO36" i="7"/>
  <c r="BP35" i="7"/>
  <c r="BQ34" i="7"/>
  <c r="BR33" i="7"/>
  <c r="BS32" i="7"/>
  <c r="BT31" i="7"/>
  <c r="BU30" i="7"/>
  <c r="BV29" i="7"/>
  <c r="BW28" i="7"/>
  <c r="BX27" i="7"/>
  <c r="BY26" i="7"/>
  <c r="BZ25" i="7"/>
  <c r="CA24" i="7"/>
  <c r="CB23" i="7"/>
  <c r="CC22" i="7"/>
  <c r="CD21" i="7"/>
  <c r="CE20" i="7"/>
  <c r="CF19" i="7"/>
  <c r="CG18" i="7"/>
  <c r="CH17" i="7"/>
  <c r="CI16" i="7"/>
  <c r="CJ15" i="7"/>
  <c r="CK14" i="7"/>
  <c r="CL13" i="7"/>
  <c r="CM12" i="7"/>
  <c r="CN11" i="7"/>
  <c r="CO10" i="7"/>
  <c r="CP9" i="7"/>
  <c r="AA76" i="7"/>
  <c r="AB76" i="7"/>
  <c r="AC75" i="7"/>
  <c r="AD74" i="7"/>
  <c r="AE73" i="7"/>
  <c r="AF72" i="7"/>
  <c r="AG71" i="7"/>
  <c r="AH70" i="7"/>
  <c r="AI69" i="7"/>
  <c r="AJ68" i="7"/>
  <c r="AK67" i="7"/>
  <c r="AL66" i="7"/>
  <c r="AM65" i="7"/>
  <c r="AN64" i="7"/>
  <c r="AO63" i="7"/>
  <c r="AP62" i="7"/>
  <c r="AQ61" i="7"/>
  <c r="AR60" i="7"/>
  <c r="AS59" i="7"/>
  <c r="AT58" i="7"/>
  <c r="AU57" i="7"/>
  <c r="AV56" i="7"/>
  <c r="AW55" i="7"/>
  <c r="AX54" i="7"/>
  <c r="AY53" i="7"/>
  <c r="AZ52" i="7"/>
  <c r="BA51" i="7"/>
  <c r="BB50" i="7"/>
  <c r="BC49" i="7"/>
  <c r="BD48" i="7"/>
  <c r="BE47" i="7"/>
  <c r="BF46" i="7"/>
  <c r="BG45" i="7"/>
  <c r="BH44" i="7"/>
  <c r="BI43" i="7"/>
  <c r="BJ42" i="7"/>
  <c r="BK41" i="7"/>
  <c r="BL40" i="7"/>
  <c r="BM39" i="7"/>
  <c r="BN38" i="7"/>
  <c r="BO37" i="7"/>
  <c r="BP36" i="7"/>
  <c r="BQ35" i="7"/>
  <c r="BR34" i="7"/>
  <c r="BS33" i="7"/>
  <c r="BT32" i="7"/>
  <c r="BU31" i="7"/>
  <c r="BV30" i="7"/>
  <c r="BW29" i="7"/>
  <c r="BX28" i="7"/>
  <c r="BY27" i="7"/>
  <c r="BZ26" i="7"/>
  <c r="CA25" i="7"/>
  <c r="CB24" i="7"/>
  <c r="CC23" i="7"/>
  <c r="CD22" i="7"/>
  <c r="CE21" i="7"/>
  <c r="CF20" i="7"/>
  <c r="CG19" i="7"/>
  <c r="CH18" i="7"/>
  <c r="CI17" i="7"/>
  <c r="CJ16" i="7"/>
  <c r="CK15" i="7"/>
  <c r="CL14" i="7"/>
  <c r="CM13" i="7"/>
  <c r="CN12" i="7"/>
  <c r="CO11" i="7"/>
  <c r="CP10" i="7"/>
  <c r="CQ9" i="7"/>
  <c r="AA77" i="7"/>
  <c r="AB77" i="7"/>
  <c r="AC76" i="7"/>
  <c r="AD75" i="7"/>
  <c r="AE74" i="7"/>
  <c r="AF73" i="7"/>
  <c r="AG72" i="7"/>
  <c r="AH71" i="7"/>
  <c r="AI70" i="7"/>
  <c r="AJ69" i="7"/>
  <c r="AK68" i="7"/>
  <c r="AL67" i="7"/>
  <c r="AM66" i="7"/>
  <c r="AN65" i="7"/>
  <c r="AO64" i="7"/>
  <c r="AP63" i="7"/>
  <c r="AQ62" i="7"/>
  <c r="AR61" i="7"/>
  <c r="AS60" i="7"/>
  <c r="AT59" i="7"/>
  <c r="AU58" i="7"/>
  <c r="AV57" i="7"/>
  <c r="AW56" i="7"/>
  <c r="AX55" i="7"/>
  <c r="AY54" i="7"/>
  <c r="AZ53" i="7"/>
  <c r="BA52" i="7"/>
  <c r="BB51" i="7"/>
  <c r="BC50" i="7"/>
  <c r="BD49" i="7"/>
  <c r="BE48" i="7"/>
  <c r="BF47" i="7"/>
  <c r="BG46" i="7"/>
  <c r="BH45" i="7"/>
  <c r="BI44" i="7"/>
  <c r="BJ43" i="7"/>
  <c r="BK42" i="7"/>
  <c r="BL41" i="7"/>
  <c r="BM40" i="7"/>
  <c r="BN39" i="7"/>
  <c r="BO38" i="7"/>
  <c r="BP37" i="7"/>
  <c r="BQ36" i="7"/>
  <c r="BR35" i="7"/>
  <c r="BS34" i="7"/>
  <c r="BT33" i="7"/>
  <c r="BU32" i="7"/>
  <c r="BV31" i="7"/>
  <c r="BW30" i="7"/>
  <c r="BX29" i="7"/>
  <c r="BY28" i="7"/>
  <c r="BZ27" i="7"/>
  <c r="CA26" i="7"/>
  <c r="CB25" i="7"/>
  <c r="CC24" i="7"/>
  <c r="CD23" i="7"/>
  <c r="CE22" i="7"/>
  <c r="CF21" i="7"/>
  <c r="CG20" i="7"/>
  <c r="CH19" i="7"/>
  <c r="CI18" i="7"/>
  <c r="CJ17" i="7"/>
  <c r="CK16" i="7"/>
  <c r="CL15" i="7"/>
  <c r="CM14" i="7"/>
  <c r="CN13" i="7"/>
  <c r="CO12" i="7"/>
  <c r="CP11" i="7"/>
  <c r="CQ10" i="7"/>
  <c r="CR9" i="7"/>
  <c r="AA78" i="7"/>
  <c r="AB78" i="7"/>
  <c r="AC77" i="7"/>
  <c r="AD76" i="7"/>
  <c r="AE75" i="7"/>
  <c r="AF74" i="7"/>
  <c r="AG73" i="7"/>
  <c r="AH72" i="7"/>
  <c r="AI71" i="7"/>
  <c r="AJ70" i="7"/>
  <c r="AK69" i="7"/>
  <c r="AL68" i="7"/>
  <c r="AM67" i="7"/>
  <c r="AN66" i="7"/>
  <c r="AO65" i="7"/>
  <c r="AP64" i="7"/>
  <c r="AQ63" i="7"/>
  <c r="AR62" i="7"/>
  <c r="AS61" i="7"/>
  <c r="AT60" i="7"/>
  <c r="AU59" i="7"/>
  <c r="AV58" i="7"/>
  <c r="AW57" i="7"/>
  <c r="AX56" i="7"/>
  <c r="AY55" i="7"/>
  <c r="AZ54" i="7"/>
  <c r="BA53" i="7"/>
  <c r="BB52" i="7"/>
  <c r="BC51" i="7"/>
  <c r="BD50" i="7"/>
  <c r="BE49" i="7"/>
  <c r="BF48" i="7"/>
  <c r="BG47" i="7"/>
  <c r="BH46" i="7"/>
  <c r="BI45" i="7"/>
  <c r="BJ44" i="7"/>
  <c r="BK43" i="7"/>
  <c r="BL42" i="7"/>
  <c r="BM41" i="7"/>
  <c r="BN40" i="7"/>
  <c r="BO39" i="7"/>
  <c r="BP38" i="7"/>
  <c r="BQ37" i="7"/>
  <c r="BR36" i="7"/>
  <c r="BS35" i="7"/>
  <c r="BT34" i="7"/>
  <c r="BU33" i="7"/>
  <c r="BV32" i="7"/>
  <c r="BW31" i="7"/>
  <c r="BX30" i="7"/>
  <c r="BY29" i="7"/>
  <c r="BZ28" i="7"/>
  <c r="CA27" i="7"/>
  <c r="CB26" i="7"/>
  <c r="CC25" i="7"/>
  <c r="CD24" i="7"/>
  <c r="CE23" i="7"/>
  <c r="CF22" i="7"/>
  <c r="CG21" i="7"/>
  <c r="CH20" i="7"/>
  <c r="CI19" i="7"/>
  <c r="CJ18" i="7"/>
  <c r="CK17" i="7"/>
  <c r="CL16" i="7"/>
  <c r="CM15" i="7"/>
  <c r="CN14" i="7"/>
  <c r="CO13" i="7"/>
  <c r="CP12" i="7"/>
  <c r="CQ11" i="7"/>
  <c r="CR10" i="7"/>
  <c r="CS9" i="7"/>
  <c r="AA79" i="7"/>
  <c r="AB79" i="7"/>
  <c r="AC78" i="7"/>
  <c r="AD77" i="7"/>
  <c r="AE76" i="7"/>
  <c r="AF75" i="7"/>
  <c r="AG74" i="7"/>
  <c r="AH73" i="7"/>
  <c r="AI72" i="7"/>
  <c r="AJ71" i="7"/>
  <c r="AK70" i="7"/>
  <c r="AL69" i="7"/>
  <c r="AM68" i="7"/>
  <c r="AN67" i="7"/>
  <c r="AO66" i="7"/>
  <c r="AP65" i="7"/>
  <c r="AQ64" i="7"/>
  <c r="AR63" i="7"/>
  <c r="AS62" i="7"/>
  <c r="AT61" i="7"/>
  <c r="AU60" i="7"/>
  <c r="AV59" i="7"/>
  <c r="AW58" i="7"/>
  <c r="AX57" i="7"/>
  <c r="AY56" i="7"/>
  <c r="AZ55" i="7"/>
  <c r="BA54" i="7"/>
  <c r="BB53" i="7"/>
  <c r="BC52" i="7"/>
  <c r="BD51" i="7"/>
  <c r="BE50" i="7"/>
  <c r="BF49" i="7"/>
  <c r="BG48" i="7"/>
  <c r="BH47" i="7"/>
  <c r="BI46" i="7"/>
  <c r="BJ45" i="7"/>
  <c r="BK44" i="7"/>
  <c r="BL43" i="7"/>
  <c r="BM42" i="7"/>
  <c r="BN41" i="7"/>
  <c r="BO40" i="7"/>
  <c r="BP39" i="7"/>
  <c r="BQ38" i="7"/>
  <c r="BR37" i="7"/>
  <c r="BS36" i="7"/>
  <c r="BT35" i="7"/>
  <c r="BU34" i="7"/>
  <c r="BV33" i="7"/>
  <c r="BW32" i="7"/>
  <c r="BX31" i="7"/>
  <c r="BY30" i="7"/>
  <c r="BZ29" i="7"/>
  <c r="CA28" i="7"/>
  <c r="CB27" i="7"/>
  <c r="CC26" i="7"/>
  <c r="CD25" i="7"/>
  <c r="CE24" i="7"/>
  <c r="CF23" i="7"/>
  <c r="CG22" i="7"/>
  <c r="CH21" i="7"/>
  <c r="CI20" i="7"/>
  <c r="CJ19" i="7"/>
  <c r="CK18" i="7"/>
  <c r="CL17" i="7"/>
  <c r="CM16" i="7"/>
  <c r="CN15" i="7"/>
  <c r="CO14" i="7"/>
  <c r="CP13" i="7"/>
  <c r="CQ12" i="7"/>
  <c r="CR11" i="7"/>
  <c r="CS10" i="7"/>
  <c r="CT9" i="7"/>
  <c r="AA80" i="7"/>
  <c r="AB80" i="7"/>
  <c r="AC79" i="7"/>
  <c r="AD78" i="7"/>
  <c r="AE77" i="7"/>
  <c r="AF76" i="7"/>
  <c r="AG75" i="7"/>
  <c r="AH74" i="7"/>
  <c r="AI73" i="7"/>
  <c r="AJ72" i="7"/>
  <c r="AK71" i="7"/>
  <c r="AL70" i="7"/>
  <c r="AM69" i="7"/>
  <c r="AN68" i="7"/>
  <c r="AO67" i="7"/>
  <c r="AP66" i="7"/>
  <c r="AQ65" i="7"/>
  <c r="AR64" i="7"/>
  <c r="AS63" i="7"/>
  <c r="AT62" i="7"/>
  <c r="AU61" i="7"/>
  <c r="AV60" i="7"/>
  <c r="AW59" i="7"/>
  <c r="AX58" i="7"/>
  <c r="AY57" i="7"/>
  <c r="AZ56" i="7"/>
  <c r="BA55" i="7"/>
  <c r="BB54" i="7"/>
  <c r="BC53" i="7"/>
  <c r="BD52" i="7"/>
  <c r="BE51" i="7"/>
  <c r="BF50" i="7"/>
  <c r="BG49" i="7"/>
  <c r="BH48" i="7"/>
  <c r="BI47" i="7"/>
  <c r="BJ46" i="7"/>
  <c r="BK45" i="7"/>
  <c r="BL44" i="7"/>
  <c r="BM43" i="7"/>
  <c r="BN42" i="7"/>
  <c r="BO41" i="7"/>
  <c r="BP40" i="7"/>
  <c r="BQ39" i="7"/>
  <c r="BR38" i="7"/>
  <c r="BS37" i="7"/>
  <c r="BT36" i="7"/>
  <c r="BU35" i="7"/>
  <c r="BV34" i="7"/>
  <c r="BW33" i="7"/>
  <c r="BX32" i="7"/>
  <c r="BY31" i="7"/>
  <c r="BZ30" i="7"/>
  <c r="CA29" i="7"/>
  <c r="CB28" i="7"/>
  <c r="CC27" i="7"/>
  <c r="CD26" i="7"/>
  <c r="CE25" i="7"/>
  <c r="CF24" i="7"/>
  <c r="CG23" i="7"/>
  <c r="CH22" i="7"/>
  <c r="CI21" i="7"/>
  <c r="CJ20" i="7"/>
  <c r="CK19" i="7"/>
  <c r="CL18" i="7"/>
  <c r="CM17" i="7"/>
  <c r="CN16" i="7"/>
  <c r="CO15" i="7"/>
  <c r="CP14" i="7"/>
  <c r="CQ13" i="7"/>
  <c r="CR12" i="7"/>
  <c r="CS11" i="7"/>
  <c r="CT10" i="7"/>
  <c r="CU9" i="7"/>
  <c r="AA81" i="7"/>
  <c r="AB81" i="7"/>
  <c r="AC80" i="7"/>
  <c r="AD79" i="7"/>
  <c r="AE78" i="7"/>
  <c r="AF77" i="7"/>
  <c r="AG76" i="7"/>
  <c r="AH75" i="7"/>
  <c r="AI74" i="7"/>
  <c r="AJ73" i="7"/>
  <c r="AK72" i="7"/>
  <c r="AL71" i="7"/>
  <c r="AM70" i="7"/>
  <c r="AN69" i="7"/>
  <c r="AO68" i="7"/>
  <c r="AP67" i="7"/>
  <c r="AQ66" i="7"/>
  <c r="AR65" i="7"/>
  <c r="AS64" i="7"/>
  <c r="AT63" i="7"/>
  <c r="AU62" i="7"/>
  <c r="AV61" i="7"/>
  <c r="AW60" i="7"/>
  <c r="AX59" i="7"/>
  <c r="AY58" i="7"/>
  <c r="AZ57" i="7"/>
  <c r="BA56" i="7"/>
  <c r="BB55" i="7"/>
  <c r="BC54" i="7"/>
  <c r="BD53" i="7"/>
  <c r="BE52" i="7"/>
  <c r="BF51" i="7"/>
  <c r="BG50" i="7"/>
  <c r="BH49" i="7"/>
  <c r="BI48" i="7"/>
  <c r="BJ47" i="7"/>
  <c r="BK46" i="7"/>
  <c r="BL45" i="7"/>
  <c r="BM44" i="7"/>
  <c r="BN43" i="7"/>
  <c r="BO42" i="7"/>
  <c r="BP41" i="7"/>
  <c r="BQ40" i="7"/>
  <c r="BR39" i="7"/>
  <c r="BS38" i="7"/>
  <c r="BT37" i="7"/>
  <c r="BU36" i="7"/>
  <c r="BV35" i="7"/>
  <c r="BW34" i="7"/>
  <c r="BX33" i="7"/>
  <c r="BY32" i="7"/>
  <c r="BZ31" i="7"/>
  <c r="CA30" i="7"/>
  <c r="CB29" i="7"/>
  <c r="CC28" i="7"/>
  <c r="CD27" i="7"/>
  <c r="CE26" i="7"/>
  <c r="CF25" i="7"/>
  <c r="CG24" i="7"/>
  <c r="CH23" i="7"/>
  <c r="CI22" i="7"/>
  <c r="CJ21" i="7"/>
  <c r="CK20" i="7"/>
  <c r="CL19" i="7"/>
  <c r="CM18" i="7"/>
  <c r="CN17" i="7"/>
  <c r="CO16" i="7"/>
  <c r="CP15" i="7"/>
  <c r="CQ14" i="7"/>
  <c r="CR13" i="7"/>
  <c r="CS12" i="7"/>
  <c r="CT11" i="7"/>
  <c r="CU10" i="7"/>
  <c r="CV9" i="7"/>
  <c r="AA82" i="7"/>
  <c r="AB82" i="7"/>
  <c r="AC81" i="7"/>
  <c r="AD80" i="7"/>
  <c r="AE79" i="7"/>
  <c r="AF78" i="7"/>
  <c r="AG77" i="7"/>
  <c r="AH76" i="7"/>
  <c r="AI75" i="7"/>
  <c r="AJ74" i="7"/>
  <c r="AK73" i="7"/>
  <c r="AL72" i="7"/>
  <c r="AM71" i="7"/>
  <c r="AN70" i="7"/>
  <c r="AO69" i="7"/>
  <c r="AP68" i="7"/>
  <c r="AQ67" i="7"/>
  <c r="AR66" i="7"/>
  <c r="AS65" i="7"/>
  <c r="AT64" i="7"/>
  <c r="AU63" i="7"/>
  <c r="AV62" i="7"/>
  <c r="AW61" i="7"/>
  <c r="AX60" i="7"/>
  <c r="AY59" i="7"/>
  <c r="AZ58" i="7"/>
  <c r="BA57" i="7"/>
  <c r="BB56" i="7"/>
  <c r="BC55" i="7"/>
  <c r="BD54" i="7"/>
  <c r="BE53" i="7"/>
  <c r="BF52" i="7"/>
  <c r="BG51" i="7"/>
  <c r="BH50" i="7"/>
  <c r="BI49" i="7"/>
  <c r="BJ48" i="7"/>
  <c r="BK47" i="7"/>
  <c r="BL46" i="7"/>
  <c r="BM45" i="7"/>
  <c r="BN44" i="7"/>
  <c r="BO43" i="7"/>
  <c r="BP42" i="7"/>
  <c r="BQ41" i="7"/>
  <c r="BR40" i="7"/>
  <c r="BS39" i="7"/>
  <c r="BT38" i="7"/>
  <c r="BU37" i="7"/>
  <c r="BV36" i="7"/>
  <c r="BW35" i="7"/>
  <c r="BX34" i="7"/>
  <c r="BY33" i="7"/>
  <c r="BZ32" i="7"/>
  <c r="CA31" i="7"/>
  <c r="CB30" i="7"/>
  <c r="CC29" i="7"/>
  <c r="CD28" i="7"/>
  <c r="CE27" i="7"/>
  <c r="CF26" i="7"/>
  <c r="CG25" i="7"/>
  <c r="CH24" i="7"/>
  <c r="CI23" i="7"/>
  <c r="CJ22" i="7"/>
  <c r="CK21" i="7"/>
  <c r="CL20" i="7"/>
  <c r="CM19" i="7"/>
  <c r="CN18" i="7"/>
  <c r="CO17" i="7"/>
  <c r="CP16" i="7"/>
  <c r="CQ15" i="7"/>
  <c r="CR14" i="7"/>
  <c r="CS13" i="7"/>
  <c r="CT12" i="7"/>
  <c r="CU11" i="7"/>
  <c r="CV10" i="7"/>
  <c r="CW9" i="7"/>
  <c r="AA83" i="7"/>
  <c r="AB83" i="7"/>
  <c r="AC82" i="7"/>
  <c r="AD81" i="7"/>
  <c r="AE80" i="7"/>
  <c r="AF79" i="7"/>
  <c r="AG78" i="7"/>
  <c r="AH77" i="7"/>
  <c r="AI76" i="7"/>
  <c r="AJ75" i="7"/>
  <c r="AK74" i="7"/>
  <c r="AL73" i="7"/>
  <c r="AM72" i="7"/>
  <c r="AN71" i="7"/>
  <c r="AO70" i="7"/>
  <c r="AP69" i="7"/>
  <c r="AQ68" i="7"/>
  <c r="AR67" i="7"/>
  <c r="AS66" i="7"/>
  <c r="AT65" i="7"/>
  <c r="AU64" i="7"/>
  <c r="AV63" i="7"/>
  <c r="AW62" i="7"/>
  <c r="AX61" i="7"/>
  <c r="AY60" i="7"/>
  <c r="AZ59" i="7"/>
  <c r="BA58" i="7"/>
  <c r="BB57" i="7"/>
  <c r="BC56" i="7"/>
  <c r="BD55" i="7"/>
  <c r="BE54" i="7"/>
  <c r="BF53" i="7"/>
  <c r="BG52" i="7"/>
  <c r="BH51" i="7"/>
  <c r="BI50" i="7"/>
  <c r="BJ49" i="7"/>
  <c r="BK48" i="7"/>
  <c r="BL47" i="7"/>
  <c r="BM46" i="7"/>
  <c r="BN45" i="7"/>
  <c r="BO44" i="7"/>
  <c r="BP43" i="7"/>
  <c r="BQ42" i="7"/>
  <c r="BR41" i="7"/>
  <c r="BS40" i="7"/>
  <c r="BT39" i="7"/>
  <c r="BU38" i="7"/>
  <c r="BV37" i="7"/>
  <c r="BW36" i="7"/>
  <c r="BX35" i="7"/>
  <c r="BY34" i="7"/>
  <c r="BZ33" i="7"/>
  <c r="CA32" i="7"/>
  <c r="CB31" i="7"/>
  <c r="CC30" i="7"/>
  <c r="CD29" i="7"/>
  <c r="CE28" i="7"/>
  <c r="CF27" i="7"/>
  <c r="CG26" i="7"/>
  <c r="CH25" i="7"/>
  <c r="CI24" i="7"/>
  <c r="CJ23" i="7"/>
  <c r="CK22" i="7"/>
  <c r="CL21" i="7"/>
  <c r="CM20" i="7"/>
  <c r="CN19" i="7"/>
  <c r="CO18" i="7"/>
  <c r="CP17" i="7"/>
  <c r="CQ16" i="7"/>
  <c r="CR15" i="7"/>
  <c r="CS14" i="7"/>
  <c r="CT13" i="7"/>
  <c r="CU12" i="7"/>
  <c r="CV11" i="7"/>
  <c r="CW10" i="7"/>
  <c r="CX9" i="7"/>
  <c r="AA84" i="7"/>
  <c r="AB84" i="7"/>
  <c r="AC83" i="7"/>
  <c r="AD82" i="7"/>
  <c r="AE81" i="7"/>
  <c r="AF80" i="7"/>
  <c r="AG79" i="7"/>
  <c r="AH78" i="7"/>
  <c r="AI77" i="7"/>
  <c r="AJ76" i="7"/>
  <c r="AK75" i="7"/>
  <c r="AL74" i="7"/>
  <c r="AM73" i="7"/>
  <c r="AN72" i="7"/>
  <c r="AO71" i="7"/>
  <c r="AP70" i="7"/>
  <c r="AQ69" i="7"/>
  <c r="AR68" i="7"/>
  <c r="AS67" i="7"/>
  <c r="AT66" i="7"/>
  <c r="AU65" i="7"/>
  <c r="AV64" i="7"/>
  <c r="AW63" i="7"/>
  <c r="AX62" i="7"/>
  <c r="AY61" i="7"/>
  <c r="AZ60" i="7"/>
  <c r="BA59" i="7"/>
  <c r="BB58" i="7"/>
  <c r="BC57" i="7"/>
  <c r="BD56" i="7"/>
  <c r="BE55" i="7"/>
  <c r="BF54" i="7"/>
  <c r="BG53" i="7"/>
  <c r="BH52" i="7"/>
  <c r="BI51" i="7"/>
  <c r="BJ50" i="7"/>
  <c r="BK49" i="7"/>
  <c r="BL48" i="7"/>
  <c r="BM47" i="7"/>
  <c r="BN46" i="7"/>
  <c r="BO45" i="7"/>
  <c r="BP44" i="7"/>
  <c r="BQ43" i="7"/>
  <c r="BR42" i="7"/>
  <c r="BS41" i="7"/>
  <c r="BT40" i="7"/>
  <c r="BU39" i="7"/>
  <c r="BV38" i="7"/>
  <c r="BW37" i="7"/>
  <c r="BX36" i="7"/>
  <c r="BY35" i="7"/>
  <c r="BZ34" i="7"/>
  <c r="CA33" i="7"/>
  <c r="CB32" i="7"/>
  <c r="CC31" i="7"/>
  <c r="CD30" i="7"/>
  <c r="CE29" i="7"/>
  <c r="CF28" i="7"/>
  <c r="CG27" i="7"/>
  <c r="CH26" i="7"/>
  <c r="CI25" i="7"/>
  <c r="CJ24" i="7"/>
  <c r="CK23" i="7"/>
  <c r="CL22" i="7"/>
  <c r="CM21" i="7"/>
  <c r="CN20" i="7"/>
  <c r="CO19" i="7"/>
  <c r="CP18" i="7"/>
  <c r="CQ17" i="7"/>
  <c r="CR16" i="7"/>
  <c r="CS15" i="7"/>
  <c r="CT14" i="7"/>
  <c r="CU13" i="7"/>
  <c r="CV12" i="7"/>
  <c r="CW11" i="7"/>
  <c r="CX10" i="7"/>
  <c r="CY9" i="7"/>
  <c r="AA85" i="7"/>
  <c r="AB85" i="7"/>
  <c r="AC84" i="7"/>
  <c r="AD83" i="7"/>
  <c r="AE82" i="7"/>
  <c r="AF81" i="7"/>
  <c r="AG80" i="7"/>
  <c r="AH79" i="7"/>
  <c r="AI78" i="7"/>
  <c r="AJ77" i="7"/>
  <c r="AK76" i="7"/>
  <c r="AL75" i="7"/>
  <c r="AM74" i="7"/>
  <c r="AN73" i="7"/>
  <c r="AO72" i="7"/>
  <c r="AP71" i="7"/>
  <c r="AQ70" i="7"/>
  <c r="AR69" i="7"/>
  <c r="AS68" i="7"/>
  <c r="AT67" i="7"/>
  <c r="AU66" i="7"/>
  <c r="AV65" i="7"/>
  <c r="AW64" i="7"/>
  <c r="AX63" i="7"/>
  <c r="AY62" i="7"/>
  <c r="AZ61" i="7"/>
  <c r="BA60" i="7"/>
  <c r="BB59" i="7"/>
  <c r="BC58" i="7"/>
  <c r="BD57" i="7"/>
  <c r="BE56" i="7"/>
  <c r="BF55" i="7"/>
  <c r="BG54" i="7"/>
  <c r="BH53" i="7"/>
  <c r="BI52" i="7"/>
  <c r="BJ51" i="7"/>
  <c r="BK50" i="7"/>
  <c r="BL49" i="7"/>
  <c r="BM48" i="7"/>
  <c r="BN47" i="7"/>
  <c r="BO46" i="7"/>
  <c r="BP45" i="7"/>
  <c r="BQ44" i="7"/>
  <c r="BR43" i="7"/>
  <c r="BS42" i="7"/>
  <c r="BT41" i="7"/>
  <c r="BU40" i="7"/>
  <c r="BV39" i="7"/>
  <c r="BW38" i="7"/>
  <c r="BX37" i="7"/>
  <c r="BY36" i="7"/>
  <c r="BZ35" i="7"/>
  <c r="CA34" i="7"/>
  <c r="CB33" i="7"/>
  <c r="CC32" i="7"/>
  <c r="CD31" i="7"/>
  <c r="CE30" i="7"/>
  <c r="CF29" i="7"/>
  <c r="CG28" i="7"/>
  <c r="CH27" i="7"/>
  <c r="CI26" i="7"/>
  <c r="CJ25" i="7"/>
  <c r="CK24" i="7"/>
  <c r="CL23" i="7"/>
  <c r="CM22" i="7"/>
  <c r="CN21" i="7"/>
  <c r="CO20" i="7"/>
  <c r="CP19" i="7"/>
  <c r="CQ18" i="7"/>
  <c r="CR17" i="7"/>
  <c r="CS16" i="7"/>
  <c r="CT15" i="7"/>
  <c r="CU14" i="7"/>
  <c r="CV13" i="7"/>
  <c r="CW12" i="7"/>
  <c r="CX11" i="7"/>
  <c r="CY10" i="7"/>
  <c r="CZ9" i="7"/>
  <c r="AA86" i="7"/>
  <c r="AB86" i="7"/>
  <c r="AC85" i="7"/>
  <c r="AD84" i="7"/>
  <c r="AE83" i="7"/>
  <c r="AF82" i="7"/>
  <c r="AG81" i="7"/>
  <c r="AH80" i="7"/>
  <c r="AI79" i="7"/>
  <c r="AJ78" i="7"/>
  <c r="AK77" i="7"/>
  <c r="AL76" i="7"/>
  <c r="AM75" i="7"/>
  <c r="AN74" i="7"/>
  <c r="AO73" i="7"/>
  <c r="AP72" i="7"/>
  <c r="AQ71" i="7"/>
  <c r="AR70" i="7"/>
  <c r="AS69" i="7"/>
  <c r="AT68" i="7"/>
  <c r="AU67" i="7"/>
  <c r="AV66" i="7"/>
  <c r="AW65" i="7"/>
  <c r="AX64" i="7"/>
  <c r="AY63" i="7"/>
  <c r="AZ62" i="7"/>
  <c r="BA61" i="7"/>
  <c r="BB60" i="7"/>
  <c r="BC59" i="7"/>
  <c r="BD58" i="7"/>
  <c r="BE57" i="7"/>
  <c r="BF56" i="7"/>
  <c r="BG55" i="7"/>
  <c r="BH54" i="7"/>
  <c r="BI53" i="7"/>
  <c r="BJ52" i="7"/>
  <c r="BK51" i="7"/>
  <c r="BL50" i="7"/>
  <c r="BM49" i="7"/>
  <c r="BN48" i="7"/>
  <c r="BO47" i="7"/>
  <c r="BP46" i="7"/>
  <c r="BQ45" i="7"/>
  <c r="BR44" i="7"/>
  <c r="BS43" i="7"/>
  <c r="BT42" i="7"/>
  <c r="BU41" i="7"/>
  <c r="BV40" i="7"/>
  <c r="BW39" i="7"/>
  <c r="BX38" i="7"/>
  <c r="BY37" i="7"/>
  <c r="BZ36" i="7"/>
  <c r="CA35" i="7"/>
  <c r="CB34" i="7"/>
  <c r="CC33" i="7"/>
  <c r="CD32" i="7"/>
  <c r="CE31" i="7"/>
  <c r="CF30" i="7"/>
  <c r="CG29" i="7"/>
  <c r="CH28" i="7"/>
  <c r="CI27" i="7"/>
  <c r="CJ26" i="7"/>
  <c r="CK25" i="7"/>
  <c r="CL24" i="7"/>
  <c r="CM23" i="7"/>
  <c r="CN22" i="7"/>
  <c r="CO21" i="7"/>
  <c r="CP20" i="7"/>
  <c r="CQ19" i="7"/>
  <c r="CR18" i="7"/>
  <c r="CS17" i="7"/>
  <c r="CT16" i="7"/>
  <c r="CU15" i="7"/>
  <c r="CV14" i="7"/>
  <c r="CW13" i="7"/>
  <c r="CX12" i="7"/>
  <c r="CY11" i="7"/>
  <c r="CZ10" i="7"/>
  <c r="DA9" i="7"/>
  <c r="AA87" i="7"/>
  <c r="AB87" i="7"/>
  <c r="AC86" i="7"/>
  <c r="AD85" i="7"/>
  <c r="AE84" i="7"/>
  <c r="AF83" i="7"/>
  <c r="AG82" i="7"/>
  <c r="AH81" i="7"/>
  <c r="AI80" i="7"/>
  <c r="AJ79" i="7"/>
  <c r="AK78" i="7"/>
  <c r="AL77" i="7"/>
  <c r="AM76" i="7"/>
  <c r="AN75" i="7"/>
  <c r="AO74" i="7"/>
  <c r="AP73" i="7"/>
  <c r="AQ72" i="7"/>
  <c r="AR71" i="7"/>
  <c r="AS70" i="7"/>
  <c r="AT69" i="7"/>
  <c r="AU68" i="7"/>
  <c r="AV67" i="7"/>
  <c r="AW66" i="7"/>
  <c r="AX65" i="7"/>
  <c r="AY64" i="7"/>
  <c r="AZ63" i="7"/>
  <c r="BA62" i="7"/>
  <c r="BB61" i="7"/>
  <c r="BC60" i="7"/>
  <c r="BD59" i="7"/>
  <c r="BE58" i="7"/>
  <c r="BF57" i="7"/>
  <c r="BG56" i="7"/>
  <c r="BH55" i="7"/>
  <c r="BI54" i="7"/>
  <c r="BJ53" i="7"/>
  <c r="BK52" i="7"/>
  <c r="BL51" i="7"/>
  <c r="BM50" i="7"/>
  <c r="BN49" i="7"/>
  <c r="BO48" i="7"/>
  <c r="BP47" i="7"/>
  <c r="BQ46" i="7"/>
  <c r="BR45" i="7"/>
  <c r="BS44" i="7"/>
  <c r="BT43" i="7"/>
  <c r="BU42" i="7"/>
  <c r="BV41" i="7"/>
  <c r="BW40" i="7"/>
  <c r="BX39" i="7"/>
  <c r="BY38" i="7"/>
  <c r="BZ37" i="7"/>
  <c r="CA36" i="7"/>
  <c r="CB35" i="7"/>
  <c r="CC34" i="7"/>
  <c r="CD33" i="7"/>
  <c r="CE32" i="7"/>
  <c r="CF31" i="7"/>
  <c r="CG30" i="7"/>
  <c r="CH29" i="7"/>
  <c r="CI28" i="7"/>
  <c r="CJ27" i="7"/>
  <c r="CK26" i="7"/>
  <c r="CL25" i="7"/>
  <c r="CM24" i="7"/>
  <c r="CN23" i="7"/>
  <c r="CO22" i="7"/>
  <c r="CP21" i="7"/>
  <c r="CQ20" i="7"/>
  <c r="CR19" i="7"/>
  <c r="CS18" i="7"/>
  <c r="CT17" i="7"/>
  <c r="CU16" i="7"/>
  <c r="CV15" i="7"/>
  <c r="CW14" i="7"/>
  <c r="CX13" i="7"/>
  <c r="CY12" i="7"/>
  <c r="CZ11" i="7"/>
  <c r="DA10" i="7"/>
  <c r="DB9" i="7"/>
  <c r="AA88" i="7"/>
  <c r="AB88" i="7"/>
  <c r="AC87" i="7"/>
  <c r="AD86" i="7"/>
  <c r="AE85" i="7"/>
  <c r="AF84" i="7"/>
  <c r="AG83" i="7"/>
  <c r="AH82" i="7"/>
  <c r="AI81" i="7"/>
  <c r="AJ80" i="7"/>
  <c r="AK79" i="7"/>
  <c r="AL78" i="7"/>
  <c r="AM77" i="7"/>
  <c r="AN76" i="7"/>
  <c r="AO75" i="7"/>
  <c r="AP74" i="7"/>
  <c r="AQ73" i="7"/>
  <c r="AR72" i="7"/>
  <c r="AS71" i="7"/>
  <c r="AT70" i="7"/>
  <c r="AU69" i="7"/>
  <c r="AV68" i="7"/>
  <c r="AW67" i="7"/>
  <c r="AX66" i="7"/>
  <c r="AY65" i="7"/>
  <c r="AZ64" i="7"/>
  <c r="BA63" i="7"/>
  <c r="BB62" i="7"/>
  <c r="BC61" i="7"/>
  <c r="BD60" i="7"/>
  <c r="BE59" i="7"/>
  <c r="BF58" i="7"/>
  <c r="BG57" i="7"/>
  <c r="BH56" i="7"/>
  <c r="BI55" i="7"/>
  <c r="BJ54" i="7"/>
  <c r="BK53" i="7"/>
  <c r="BL52" i="7"/>
  <c r="BM51" i="7"/>
  <c r="BN50" i="7"/>
  <c r="BO49" i="7"/>
  <c r="BP48" i="7"/>
  <c r="BQ47" i="7"/>
  <c r="BR46" i="7"/>
  <c r="BS45" i="7"/>
  <c r="BT44" i="7"/>
  <c r="BU43" i="7"/>
  <c r="BV42" i="7"/>
  <c r="BW41" i="7"/>
  <c r="BX40" i="7"/>
  <c r="BY39" i="7"/>
  <c r="BZ38" i="7"/>
  <c r="CA37" i="7"/>
  <c r="CB36" i="7"/>
  <c r="CC35" i="7"/>
  <c r="CD34" i="7"/>
  <c r="CE33" i="7"/>
  <c r="CF32" i="7"/>
  <c r="CG31" i="7"/>
  <c r="CH30" i="7"/>
  <c r="CI29" i="7"/>
  <c r="CJ28" i="7"/>
  <c r="CK27" i="7"/>
  <c r="CL26" i="7"/>
  <c r="CM25" i="7"/>
  <c r="CN24" i="7"/>
  <c r="CO23" i="7"/>
  <c r="CP22" i="7"/>
  <c r="CQ21" i="7"/>
  <c r="CR20" i="7"/>
  <c r="CS19" i="7"/>
  <c r="CT18" i="7"/>
  <c r="CU17" i="7"/>
  <c r="CV16" i="7"/>
  <c r="CW15" i="7"/>
  <c r="CX14" i="7"/>
  <c r="CY13" i="7"/>
  <c r="CZ12" i="7"/>
  <c r="DA11" i="7"/>
  <c r="DB10" i="7"/>
  <c r="DC9" i="7"/>
  <c r="AA89" i="7"/>
  <c r="AB89" i="7"/>
  <c r="AC88" i="7"/>
  <c r="AD87" i="7"/>
  <c r="AE86" i="7"/>
  <c r="AF85" i="7"/>
  <c r="AG84" i="7"/>
  <c r="AH83" i="7"/>
  <c r="AI82" i="7"/>
  <c r="AJ81" i="7"/>
  <c r="AK80" i="7"/>
  <c r="AL79" i="7"/>
  <c r="AM78" i="7"/>
  <c r="AN77" i="7"/>
  <c r="AO76" i="7"/>
  <c r="AP75" i="7"/>
  <c r="AQ74" i="7"/>
  <c r="AR73" i="7"/>
  <c r="AS72" i="7"/>
  <c r="AT71" i="7"/>
  <c r="AU70" i="7"/>
  <c r="AV69" i="7"/>
  <c r="AW68" i="7"/>
  <c r="AX67" i="7"/>
  <c r="AY66" i="7"/>
  <c r="AZ65" i="7"/>
  <c r="BA64" i="7"/>
  <c r="BB63" i="7"/>
  <c r="BC62" i="7"/>
  <c r="BD61" i="7"/>
  <c r="BE60" i="7"/>
  <c r="BF59" i="7"/>
  <c r="BG58" i="7"/>
  <c r="BH57" i="7"/>
  <c r="BI56" i="7"/>
  <c r="BJ55" i="7"/>
  <c r="BK54" i="7"/>
  <c r="BL53" i="7"/>
  <c r="BM52" i="7"/>
  <c r="BN51" i="7"/>
  <c r="BO50" i="7"/>
  <c r="BP49" i="7"/>
  <c r="BQ48" i="7"/>
  <c r="BR47" i="7"/>
  <c r="BS46" i="7"/>
  <c r="BT45" i="7"/>
  <c r="BU44" i="7"/>
  <c r="BV43" i="7"/>
  <c r="BW42" i="7"/>
  <c r="BX41" i="7"/>
  <c r="BY40" i="7"/>
  <c r="BZ39" i="7"/>
  <c r="CA38" i="7"/>
  <c r="CB37" i="7"/>
  <c r="CC36" i="7"/>
  <c r="CD35" i="7"/>
  <c r="CE34" i="7"/>
  <c r="CF33" i="7"/>
  <c r="CG32" i="7"/>
  <c r="CH31" i="7"/>
  <c r="CI30" i="7"/>
  <c r="CJ29" i="7"/>
  <c r="CK28" i="7"/>
  <c r="CL27" i="7"/>
  <c r="CM26" i="7"/>
  <c r="CN25" i="7"/>
  <c r="CO24" i="7"/>
  <c r="CP23" i="7"/>
  <c r="CQ22" i="7"/>
  <c r="CR21" i="7"/>
  <c r="CS20" i="7"/>
  <c r="CT19" i="7"/>
  <c r="CU18" i="7"/>
  <c r="CV17" i="7"/>
  <c r="CW16" i="7"/>
  <c r="CX15" i="7"/>
  <c r="CY14" i="7"/>
  <c r="CZ13" i="7"/>
  <c r="DA12" i="7"/>
  <c r="DB11" i="7"/>
  <c r="DC10" i="7"/>
  <c r="DD9" i="7"/>
  <c r="AA90" i="7"/>
  <c r="AB90" i="7"/>
  <c r="AC89" i="7"/>
  <c r="AD88" i="7"/>
  <c r="AE87" i="7"/>
  <c r="AF86" i="7"/>
  <c r="AG85" i="7"/>
  <c r="AH84" i="7"/>
  <c r="AI83" i="7"/>
  <c r="AJ82" i="7"/>
  <c r="AK81" i="7"/>
  <c r="AL80" i="7"/>
  <c r="AM79" i="7"/>
  <c r="AN78" i="7"/>
  <c r="AO77" i="7"/>
  <c r="AP76" i="7"/>
  <c r="AQ75" i="7"/>
  <c r="AR74" i="7"/>
  <c r="AS73" i="7"/>
  <c r="AT72" i="7"/>
  <c r="AU71" i="7"/>
  <c r="AV70" i="7"/>
  <c r="AW69" i="7"/>
  <c r="AX68" i="7"/>
  <c r="AY67" i="7"/>
  <c r="AZ66" i="7"/>
  <c r="BA65" i="7"/>
  <c r="BB64" i="7"/>
  <c r="BC63" i="7"/>
  <c r="BD62" i="7"/>
  <c r="BE61" i="7"/>
  <c r="BF60" i="7"/>
  <c r="BG59" i="7"/>
  <c r="BH58" i="7"/>
  <c r="BI57" i="7"/>
  <c r="BJ56" i="7"/>
  <c r="BK55" i="7"/>
  <c r="BL54" i="7"/>
  <c r="BM53" i="7"/>
  <c r="BN52" i="7"/>
  <c r="BO51" i="7"/>
  <c r="BP50" i="7"/>
  <c r="BQ49" i="7"/>
  <c r="BR48" i="7"/>
  <c r="BS47" i="7"/>
  <c r="BT46" i="7"/>
  <c r="BU45" i="7"/>
  <c r="BV44" i="7"/>
  <c r="BW43" i="7"/>
  <c r="BX42" i="7"/>
  <c r="BY41" i="7"/>
  <c r="BZ40" i="7"/>
  <c r="CA39" i="7"/>
  <c r="CB38" i="7"/>
  <c r="CC37" i="7"/>
  <c r="CD36" i="7"/>
  <c r="CE35" i="7"/>
  <c r="CF34" i="7"/>
  <c r="CG33" i="7"/>
  <c r="CH32" i="7"/>
  <c r="CI31" i="7"/>
  <c r="CJ30" i="7"/>
  <c r="CK29" i="7"/>
  <c r="CL28" i="7"/>
  <c r="CM27" i="7"/>
  <c r="CN26" i="7"/>
  <c r="CO25" i="7"/>
  <c r="CP24" i="7"/>
  <c r="CQ23" i="7"/>
  <c r="CR22" i="7"/>
  <c r="CS21" i="7"/>
  <c r="CT20" i="7"/>
  <c r="CU19" i="7"/>
  <c r="CV18" i="7"/>
  <c r="CW17" i="7"/>
  <c r="CX16" i="7"/>
  <c r="CY15" i="7"/>
  <c r="CZ14" i="7"/>
  <c r="DA13" i="7"/>
  <c r="DB12" i="7"/>
  <c r="DC11" i="7"/>
  <c r="DD10" i="7"/>
  <c r="DE9" i="7"/>
  <c r="AA91" i="7"/>
  <c r="AB91" i="7"/>
  <c r="AC90" i="7"/>
  <c r="AD89" i="7"/>
  <c r="AE88" i="7"/>
  <c r="AF87" i="7"/>
  <c r="AG86" i="7"/>
  <c r="AH85" i="7"/>
  <c r="AI84" i="7"/>
  <c r="AJ83" i="7"/>
  <c r="AK82" i="7"/>
  <c r="AL81" i="7"/>
  <c r="AM80" i="7"/>
  <c r="AN79" i="7"/>
  <c r="AO78" i="7"/>
  <c r="AP77" i="7"/>
  <c r="AQ76" i="7"/>
  <c r="AR75" i="7"/>
  <c r="AS74" i="7"/>
  <c r="AT73" i="7"/>
  <c r="AU72" i="7"/>
  <c r="AV71" i="7"/>
  <c r="AW70" i="7"/>
  <c r="AX69" i="7"/>
  <c r="AY68" i="7"/>
  <c r="AZ67" i="7"/>
  <c r="BA66" i="7"/>
  <c r="BB65" i="7"/>
  <c r="BC64" i="7"/>
  <c r="BD63" i="7"/>
  <c r="BE62" i="7"/>
  <c r="BF61" i="7"/>
  <c r="BG60" i="7"/>
  <c r="BH59" i="7"/>
  <c r="BI58" i="7"/>
  <c r="BJ57" i="7"/>
  <c r="BK56" i="7"/>
  <c r="BL55" i="7"/>
  <c r="BM54" i="7"/>
  <c r="BN53" i="7"/>
  <c r="BO52" i="7"/>
  <c r="BP51" i="7"/>
  <c r="BQ50" i="7"/>
  <c r="BR49" i="7"/>
  <c r="BS48" i="7"/>
  <c r="BT47" i="7"/>
  <c r="BU46" i="7"/>
  <c r="BV45" i="7"/>
  <c r="BW44" i="7"/>
  <c r="BX43" i="7"/>
  <c r="BY42" i="7"/>
  <c r="BZ41" i="7"/>
  <c r="CA40" i="7"/>
  <c r="CB39" i="7"/>
  <c r="CC38" i="7"/>
  <c r="CD37" i="7"/>
  <c r="CE36" i="7"/>
  <c r="CF35" i="7"/>
  <c r="CG34" i="7"/>
  <c r="CH33" i="7"/>
  <c r="CI32" i="7"/>
  <c r="CJ31" i="7"/>
  <c r="CK30" i="7"/>
  <c r="CL29" i="7"/>
  <c r="CM28" i="7"/>
  <c r="CN27" i="7"/>
  <c r="CO26" i="7"/>
  <c r="CP25" i="7"/>
  <c r="CQ24" i="7"/>
  <c r="CR23" i="7"/>
  <c r="CS22" i="7"/>
  <c r="CT21" i="7"/>
  <c r="CU20" i="7"/>
  <c r="CV19" i="7"/>
  <c r="CW18" i="7"/>
  <c r="CX17" i="7"/>
  <c r="CY16" i="7"/>
  <c r="CZ15" i="7"/>
  <c r="DA14" i="7"/>
  <c r="DB13" i="7"/>
  <c r="DC12" i="7"/>
  <c r="DD11" i="7"/>
  <c r="DE10" i="7"/>
  <c r="DF9" i="7"/>
  <c r="AA92" i="7"/>
  <c r="AB92" i="7"/>
  <c r="AC91" i="7"/>
  <c r="AD90" i="7"/>
  <c r="AE89" i="7"/>
  <c r="AF88" i="7"/>
  <c r="AG87" i="7"/>
  <c r="AH86" i="7"/>
  <c r="AI85" i="7"/>
  <c r="AJ84" i="7"/>
  <c r="AK83" i="7"/>
  <c r="AL82" i="7"/>
  <c r="AM81" i="7"/>
  <c r="AN80" i="7"/>
  <c r="AO79" i="7"/>
  <c r="AP78" i="7"/>
  <c r="AQ77" i="7"/>
  <c r="AR76" i="7"/>
  <c r="AS75" i="7"/>
  <c r="AT74" i="7"/>
  <c r="AU73" i="7"/>
  <c r="AV72" i="7"/>
  <c r="AW71" i="7"/>
  <c r="AX70" i="7"/>
  <c r="AY69" i="7"/>
  <c r="AZ68" i="7"/>
  <c r="BA67" i="7"/>
  <c r="BB66" i="7"/>
  <c r="BC65" i="7"/>
  <c r="BD64" i="7"/>
  <c r="BE63" i="7"/>
  <c r="BF62" i="7"/>
  <c r="BG61" i="7"/>
  <c r="BH60" i="7"/>
  <c r="BI59" i="7"/>
  <c r="BJ58" i="7"/>
  <c r="BK57" i="7"/>
  <c r="BL56" i="7"/>
  <c r="BM55" i="7"/>
  <c r="BN54" i="7"/>
  <c r="BO53" i="7"/>
  <c r="BP52" i="7"/>
  <c r="BQ51" i="7"/>
  <c r="BR50" i="7"/>
  <c r="BS49" i="7"/>
  <c r="BT48" i="7"/>
  <c r="BU47" i="7"/>
  <c r="BV46" i="7"/>
  <c r="BW45" i="7"/>
  <c r="BX44" i="7"/>
  <c r="BY43" i="7"/>
  <c r="BZ42" i="7"/>
  <c r="CA41" i="7"/>
  <c r="CB40" i="7"/>
  <c r="CC39" i="7"/>
  <c r="CD38" i="7"/>
  <c r="CE37" i="7"/>
  <c r="CF36" i="7"/>
  <c r="CG35" i="7"/>
  <c r="CH34" i="7"/>
  <c r="CI33" i="7"/>
  <c r="CJ32" i="7"/>
  <c r="CK31" i="7"/>
  <c r="CL30" i="7"/>
  <c r="CM29" i="7"/>
  <c r="CN28" i="7"/>
  <c r="CO27" i="7"/>
  <c r="CP26" i="7"/>
  <c r="CQ25" i="7"/>
  <c r="CR24" i="7"/>
  <c r="CS23" i="7"/>
  <c r="CT22" i="7"/>
  <c r="CU21" i="7"/>
  <c r="CV20" i="7"/>
  <c r="CW19" i="7"/>
  <c r="CX18" i="7"/>
  <c r="CY17" i="7"/>
  <c r="CZ16" i="7"/>
  <c r="DA15" i="7"/>
  <c r="DB14" i="7"/>
  <c r="DC13" i="7"/>
  <c r="DD12" i="7"/>
  <c r="DE11" i="7"/>
  <c r="DF10" i="7"/>
  <c r="DG9" i="7"/>
  <c r="AA93" i="7"/>
  <c r="AB93" i="7"/>
  <c r="AC92" i="7"/>
  <c r="AD91" i="7"/>
  <c r="AE90" i="7"/>
  <c r="AF89" i="7"/>
  <c r="AG88" i="7"/>
  <c r="AH87" i="7"/>
  <c r="AI86" i="7"/>
  <c r="AJ85" i="7"/>
  <c r="AK84" i="7"/>
  <c r="AL83" i="7"/>
  <c r="AM82" i="7"/>
  <c r="AN81" i="7"/>
  <c r="AO80" i="7"/>
  <c r="AP79" i="7"/>
  <c r="AQ78" i="7"/>
  <c r="AR77" i="7"/>
  <c r="AS76" i="7"/>
  <c r="AT75" i="7"/>
  <c r="AU74" i="7"/>
  <c r="AV73" i="7"/>
  <c r="AW72" i="7"/>
  <c r="AX71" i="7"/>
  <c r="AY70" i="7"/>
  <c r="AZ69" i="7"/>
  <c r="BA68" i="7"/>
  <c r="BB67" i="7"/>
  <c r="BC66" i="7"/>
  <c r="BD65" i="7"/>
  <c r="BE64" i="7"/>
  <c r="BF63" i="7"/>
  <c r="BG62" i="7"/>
  <c r="BH61" i="7"/>
  <c r="BI60" i="7"/>
  <c r="BJ59" i="7"/>
  <c r="BK58" i="7"/>
  <c r="BL57" i="7"/>
  <c r="BM56" i="7"/>
  <c r="BN55" i="7"/>
  <c r="BO54" i="7"/>
  <c r="BP53" i="7"/>
  <c r="BQ52" i="7"/>
  <c r="BR51" i="7"/>
  <c r="BS50" i="7"/>
  <c r="BT49" i="7"/>
  <c r="BU48" i="7"/>
  <c r="BV47" i="7"/>
  <c r="BW46" i="7"/>
  <c r="BX45" i="7"/>
  <c r="BY44" i="7"/>
  <c r="BZ43" i="7"/>
  <c r="CA42" i="7"/>
  <c r="CB41" i="7"/>
  <c r="CC40" i="7"/>
  <c r="CD39" i="7"/>
  <c r="CE38" i="7"/>
  <c r="CF37" i="7"/>
  <c r="CG36" i="7"/>
  <c r="CH35" i="7"/>
  <c r="CI34" i="7"/>
  <c r="CJ33" i="7"/>
  <c r="CK32" i="7"/>
  <c r="CL31" i="7"/>
  <c r="CM30" i="7"/>
  <c r="CN29" i="7"/>
  <c r="CO28" i="7"/>
  <c r="CP27" i="7"/>
  <c r="CQ26" i="7"/>
  <c r="CR25" i="7"/>
  <c r="CS24" i="7"/>
  <c r="CT23" i="7"/>
  <c r="CU22" i="7"/>
  <c r="CV21" i="7"/>
  <c r="CW20" i="7"/>
  <c r="CX19" i="7"/>
  <c r="CY18" i="7"/>
  <c r="CZ17" i="7"/>
  <c r="DA16" i="7"/>
  <c r="DB15" i="7"/>
  <c r="DC14" i="7"/>
  <c r="DD13" i="7"/>
  <c r="DE12" i="7"/>
  <c r="DF11" i="7"/>
  <c r="DG10" i="7"/>
  <c r="DH9" i="7"/>
  <c r="AA94" i="7"/>
  <c r="AB94" i="7"/>
  <c r="AC93" i="7"/>
  <c r="AD92" i="7"/>
  <c r="AE91" i="7"/>
  <c r="AF90" i="7"/>
  <c r="AG89" i="7"/>
  <c r="AH88" i="7"/>
  <c r="AI87" i="7"/>
  <c r="AJ86" i="7"/>
  <c r="AK85" i="7"/>
  <c r="AL84" i="7"/>
  <c r="AM83" i="7"/>
  <c r="AN82" i="7"/>
  <c r="AO81" i="7"/>
  <c r="AP80" i="7"/>
  <c r="AQ79" i="7"/>
  <c r="AR78" i="7"/>
  <c r="AS77" i="7"/>
  <c r="AT76" i="7"/>
  <c r="AU75" i="7"/>
  <c r="AV74" i="7"/>
  <c r="AW73" i="7"/>
  <c r="AX72" i="7"/>
  <c r="AY71" i="7"/>
  <c r="AZ70" i="7"/>
  <c r="BA69" i="7"/>
  <c r="BB68" i="7"/>
  <c r="BC67" i="7"/>
  <c r="BD66" i="7"/>
  <c r="BE65" i="7"/>
  <c r="BF64" i="7"/>
  <c r="BG63" i="7"/>
  <c r="BH62" i="7"/>
  <c r="BI61" i="7"/>
  <c r="BJ60" i="7"/>
  <c r="BK59" i="7"/>
  <c r="BL58" i="7"/>
  <c r="BM57" i="7"/>
  <c r="BN56" i="7"/>
  <c r="BO55" i="7"/>
  <c r="BP54" i="7"/>
  <c r="BQ53" i="7"/>
  <c r="BR52" i="7"/>
  <c r="BS51" i="7"/>
  <c r="BT50" i="7"/>
  <c r="BU49" i="7"/>
  <c r="BV48" i="7"/>
  <c r="BW47" i="7"/>
  <c r="BX46" i="7"/>
  <c r="BY45" i="7"/>
  <c r="BZ44" i="7"/>
  <c r="CA43" i="7"/>
  <c r="CB42" i="7"/>
  <c r="CC41" i="7"/>
  <c r="CD40" i="7"/>
  <c r="CE39" i="7"/>
  <c r="CF38" i="7"/>
  <c r="CG37" i="7"/>
  <c r="CH36" i="7"/>
  <c r="CI35" i="7"/>
  <c r="CJ34" i="7"/>
  <c r="CK33" i="7"/>
  <c r="CL32" i="7"/>
  <c r="CM31" i="7"/>
  <c r="CN30" i="7"/>
  <c r="CO29" i="7"/>
  <c r="CP28" i="7"/>
  <c r="CQ27" i="7"/>
  <c r="CR26" i="7"/>
  <c r="CS25" i="7"/>
  <c r="CT24" i="7"/>
  <c r="CU23" i="7"/>
  <c r="CV22" i="7"/>
  <c r="CW21" i="7"/>
  <c r="CX20" i="7"/>
  <c r="CY19" i="7"/>
  <c r="CZ18" i="7"/>
  <c r="DA17" i="7"/>
  <c r="DB16" i="7"/>
  <c r="DC15" i="7"/>
  <c r="DD14" i="7"/>
  <c r="DE13" i="7"/>
  <c r="DF12" i="7"/>
  <c r="DG11" i="7"/>
  <c r="DH10" i="7"/>
  <c r="DI9" i="7"/>
  <c r="AA95" i="7"/>
  <c r="AB95" i="7"/>
  <c r="AC94" i="7"/>
  <c r="AD93" i="7"/>
  <c r="AE92" i="7"/>
  <c r="AF91" i="7"/>
  <c r="AG90" i="7"/>
  <c r="AH89" i="7"/>
  <c r="AI88" i="7"/>
  <c r="AJ87" i="7"/>
  <c r="AK86" i="7"/>
  <c r="AL85" i="7"/>
  <c r="AM84" i="7"/>
  <c r="AN83" i="7"/>
  <c r="AO82" i="7"/>
  <c r="AP81" i="7"/>
  <c r="AQ80" i="7"/>
  <c r="AR79" i="7"/>
  <c r="AS78" i="7"/>
  <c r="AT77" i="7"/>
  <c r="AU76" i="7"/>
  <c r="AV75" i="7"/>
  <c r="AW74" i="7"/>
  <c r="AX73" i="7"/>
  <c r="AY72" i="7"/>
  <c r="AZ71" i="7"/>
  <c r="BA70" i="7"/>
  <c r="BB69" i="7"/>
  <c r="BC68" i="7"/>
  <c r="BD67" i="7"/>
  <c r="BE66" i="7"/>
  <c r="BF65" i="7"/>
  <c r="BG64" i="7"/>
  <c r="BH63" i="7"/>
  <c r="BI62" i="7"/>
  <c r="BJ61" i="7"/>
  <c r="BK60" i="7"/>
  <c r="BL59" i="7"/>
  <c r="BM58" i="7"/>
  <c r="BN57" i="7"/>
  <c r="BO56" i="7"/>
  <c r="BP55" i="7"/>
  <c r="BQ54" i="7"/>
  <c r="BR53" i="7"/>
  <c r="BS52" i="7"/>
  <c r="BT51" i="7"/>
  <c r="BU50" i="7"/>
  <c r="BV49" i="7"/>
  <c r="BW48" i="7"/>
  <c r="BX47" i="7"/>
  <c r="BY46" i="7"/>
  <c r="BZ45" i="7"/>
  <c r="CA44" i="7"/>
  <c r="CB43" i="7"/>
  <c r="CC42" i="7"/>
  <c r="CD41" i="7"/>
  <c r="CE40" i="7"/>
  <c r="CF39" i="7"/>
  <c r="CG38" i="7"/>
  <c r="CH37" i="7"/>
  <c r="CI36" i="7"/>
  <c r="CJ35" i="7"/>
  <c r="CK34" i="7"/>
  <c r="CL33" i="7"/>
  <c r="CM32" i="7"/>
  <c r="CN31" i="7"/>
  <c r="CO30" i="7"/>
  <c r="CP29" i="7"/>
  <c r="CQ28" i="7"/>
  <c r="CR27" i="7"/>
  <c r="CS26" i="7"/>
  <c r="CT25" i="7"/>
  <c r="CU24" i="7"/>
  <c r="CV23" i="7"/>
  <c r="CW22" i="7"/>
  <c r="CX21" i="7"/>
  <c r="CY20" i="7"/>
  <c r="CZ19" i="7"/>
  <c r="DA18" i="7"/>
  <c r="DB17" i="7"/>
  <c r="DC16" i="7"/>
  <c r="DD15" i="7"/>
  <c r="DE14" i="7"/>
  <c r="DF13" i="7"/>
  <c r="DG12" i="7"/>
  <c r="DH11" i="7"/>
  <c r="DI10" i="7"/>
  <c r="DJ9" i="7"/>
  <c r="AA96" i="7"/>
  <c r="AB96" i="7"/>
  <c r="AC95" i="7"/>
  <c r="AD94" i="7"/>
  <c r="AE93" i="7"/>
  <c r="AF92" i="7"/>
  <c r="AG91" i="7"/>
  <c r="AH90" i="7"/>
  <c r="AI89" i="7"/>
  <c r="AJ88" i="7"/>
  <c r="AK87" i="7"/>
  <c r="AL86" i="7"/>
  <c r="AM85" i="7"/>
  <c r="AN84" i="7"/>
  <c r="AO83" i="7"/>
  <c r="AP82" i="7"/>
  <c r="AQ81" i="7"/>
  <c r="AR80" i="7"/>
  <c r="AS79" i="7"/>
  <c r="AT78" i="7"/>
  <c r="AU77" i="7"/>
  <c r="AV76" i="7"/>
  <c r="AW75" i="7"/>
  <c r="AX74" i="7"/>
  <c r="AY73" i="7"/>
  <c r="AZ72" i="7"/>
  <c r="BA71" i="7"/>
  <c r="BB70" i="7"/>
  <c r="BC69" i="7"/>
  <c r="BD68" i="7"/>
  <c r="BE67" i="7"/>
  <c r="BF66" i="7"/>
  <c r="BG65" i="7"/>
  <c r="BH64" i="7"/>
  <c r="BI63" i="7"/>
  <c r="BJ62" i="7"/>
  <c r="BK61" i="7"/>
  <c r="BL60" i="7"/>
  <c r="BM59" i="7"/>
  <c r="BN58" i="7"/>
  <c r="BO57" i="7"/>
  <c r="BP56" i="7"/>
  <c r="BQ55" i="7"/>
  <c r="BR54" i="7"/>
  <c r="BS53" i="7"/>
  <c r="BT52" i="7"/>
  <c r="BU51" i="7"/>
  <c r="BV50" i="7"/>
  <c r="BW49" i="7"/>
  <c r="BX48" i="7"/>
  <c r="BY47" i="7"/>
  <c r="BZ46" i="7"/>
  <c r="CA45" i="7"/>
  <c r="CB44" i="7"/>
  <c r="CC43" i="7"/>
  <c r="CD42" i="7"/>
  <c r="CE41" i="7"/>
  <c r="CF40" i="7"/>
  <c r="CG39" i="7"/>
  <c r="CH38" i="7"/>
  <c r="CI37" i="7"/>
  <c r="CJ36" i="7"/>
  <c r="CK35" i="7"/>
  <c r="CL34" i="7"/>
  <c r="CM33" i="7"/>
  <c r="CN32" i="7"/>
  <c r="CO31" i="7"/>
  <c r="CP30" i="7"/>
  <c r="CQ29" i="7"/>
  <c r="CR28" i="7"/>
  <c r="CS27" i="7"/>
  <c r="CT26" i="7"/>
  <c r="CU25" i="7"/>
  <c r="CV24" i="7"/>
  <c r="CW23" i="7"/>
  <c r="CX22" i="7"/>
  <c r="CY21" i="7"/>
  <c r="CZ20" i="7"/>
  <c r="DA19" i="7"/>
  <c r="DB18" i="7"/>
  <c r="DC17" i="7"/>
  <c r="DD16" i="7"/>
  <c r="DE15" i="7"/>
  <c r="DF14" i="7"/>
  <c r="DG13" i="7"/>
  <c r="DH12" i="7"/>
  <c r="DI11" i="7"/>
  <c r="DJ10" i="7"/>
  <c r="DK9" i="7"/>
  <c r="AA97" i="7"/>
  <c r="AB97" i="7"/>
  <c r="AC96" i="7"/>
  <c r="AD95" i="7"/>
  <c r="AE94" i="7"/>
  <c r="AF93" i="7"/>
  <c r="AG92" i="7"/>
  <c r="AH91" i="7"/>
  <c r="AI90" i="7"/>
  <c r="AJ89" i="7"/>
  <c r="AK88" i="7"/>
  <c r="AL87" i="7"/>
  <c r="AM86" i="7"/>
  <c r="AN85" i="7"/>
  <c r="AO84" i="7"/>
  <c r="AP83" i="7"/>
  <c r="AQ82" i="7"/>
  <c r="AR81" i="7"/>
  <c r="AS80" i="7"/>
  <c r="AT79" i="7"/>
  <c r="AU78" i="7"/>
  <c r="AV77" i="7"/>
  <c r="AW76" i="7"/>
  <c r="AX75" i="7"/>
  <c r="AY74" i="7"/>
  <c r="AZ73" i="7"/>
  <c r="BA72" i="7"/>
  <c r="BB71" i="7"/>
  <c r="BC70" i="7"/>
  <c r="BD69" i="7"/>
  <c r="BE68" i="7"/>
  <c r="BF67" i="7"/>
  <c r="BG66" i="7"/>
  <c r="BH65" i="7"/>
  <c r="BI64" i="7"/>
  <c r="BJ63" i="7"/>
  <c r="BK62" i="7"/>
  <c r="BL61" i="7"/>
  <c r="BM60" i="7"/>
  <c r="BN59" i="7"/>
  <c r="BO58" i="7"/>
  <c r="BP57" i="7"/>
  <c r="BQ56" i="7"/>
  <c r="BR55" i="7"/>
  <c r="BS54" i="7"/>
  <c r="BT53" i="7"/>
  <c r="BU52" i="7"/>
  <c r="BV51" i="7"/>
  <c r="BW50" i="7"/>
  <c r="BX49" i="7"/>
  <c r="BY48" i="7"/>
  <c r="BZ47" i="7"/>
  <c r="CA46" i="7"/>
  <c r="CB45" i="7"/>
  <c r="CC44" i="7"/>
  <c r="CD43" i="7"/>
  <c r="CE42" i="7"/>
  <c r="CF41" i="7"/>
  <c r="CG40" i="7"/>
  <c r="CH39" i="7"/>
  <c r="CI38" i="7"/>
  <c r="CJ37" i="7"/>
  <c r="CK36" i="7"/>
  <c r="CL35" i="7"/>
  <c r="CM34" i="7"/>
  <c r="CN33" i="7"/>
  <c r="CO32" i="7"/>
  <c r="CP31" i="7"/>
  <c r="CQ30" i="7"/>
  <c r="CR29" i="7"/>
  <c r="CS28" i="7"/>
  <c r="CT27" i="7"/>
  <c r="CU26" i="7"/>
  <c r="CV25" i="7"/>
  <c r="CW24" i="7"/>
  <c r="CX23" i="7"/>
  <c r="CY22" i="7"/>
  <c r="CZ21" i="7"/>
  <c r="DA20" i="7"/>
  <c r="DB19" i="7"/>
  <c r="DC18" i="7"/>
  <c r="DD17" i="7"/>
  <c r="DE16" i="7"/>
  <c r="DF15" i="7"/>
  <c r="DG14" i="7"/>
  <c r="DH13" i="7"/>
  <c r="DI12" i="7"/>
  <c r="DJ11" i="7"/>
  <c r="DK10" i="7"/>
  <c r="DL9" i="7"/>
  <c r="AC97" i="7"/>
  <c r="AD96" i="7"/>
  <c r="AE95" i="7"/>
  <c r="AF94" i="7"/>
  <c r="AG93" i="7"/>
  <c r="AH92" i="7"/>
  <c r="AI91" i="7"/>
  <c r="AJ90" i="7"/>
  <c r="AK89" i="7"/>
  <c r="AL88" i="7"/>
  <c r="AM87" i="7"/>
  <c r="AN86" i="7"/>
  <c r="AO85" i="7"/>
  <c r="AP84" i="7"/>
  <c r="AQ83" i="7"/>
  <c r="AR82" i="7"/>
  <c r="AS81" i="7"/>
  <c r="AT80" i="7"/>
  <c r="AU79" i="7"/>
  <c r="AV78" i="7"/>
  <c r="AW77" i="7"/>
  <c r="AX76" i="7"/>
  <c r="AY75" i="7"/>
  <c r="AZ74" i="7"/>
  <c r="BA73" i="7"/>
  <c r="BB72" i="7"/>
  <c r="BC71" i="7"/>
  <c r="BD70" i="7"/>
  <c r="BE69" i="7"/>
  <c r="BF68" i="7"/>
  <c r="BG67" i="7"/>
  <c r="BH66" i="7"/>
  <c r="BI65" i="7"/>
  <c r="BJ64" i="7"/>
  <c r="BK63" i="7"/>
  <c r="BL62" i="7"/>
  <c r="BM61" i="7"/>
  <c r="BN60" i="7"/>
  <c r="BO59" i="7"/>
  <c r="BP58" i="7"/>
  <c r="BQ57" i="7"/>
  <c r="BR56" i="7"/>
  <c r="BS55" i="7"/>
  <c r="BT54" i="7"/>
  <c r="BU53" i="7"/>
  <c r="BV52" i="7"/>
  <c r="BW51" i="7"/>
  <c r="BX50" i="7"/>
  <c r="BY49" i="7"/>
  <c r="BZ48" i="7"/>
  <c r="CA47" i="7"/>
  <c r="CB46" i="7"/>
  <c r="CC45" i="7"/>
  <c r="CD44" i="7"/>
  <c r="CE43" i="7"/>
  <c r="CF42" i="7"/>
  <c r="CG41" i="7"/>
  <c r="CH40" i="7"/>
  <c r="CI39" i="7"/>
  <c r="CJ38" i="7"/>
  <c r="CK37" i="7"/>
  <c r="CL36" i="7"/>
  <c r="CM35" i="7"/>
  <c r="CN34" i="7"/>
  <c r="CO33" i="7"/>
  <c r="CP32" i="7"/>
  <c r="CQ31" i="7"/>
  <c r="CR30" i="7"/>
  <c r="CS29" i="7"/>
  <c r="CT28" i="7"/>
  <c r="CU27" i="7"/>
  <c r="CV26" i="7"/>
  <c r="CW25" i="7"/>
  <c r="CX24" i="7"/>
  <c r="CY23" i="7"/>
  <c r="CZ22" i="7"/>
  <c r="DA21" i="7"/>
  <c r="DB20" i="7"/>
  <c r="DC19" i="7"/>
  <c r="DD18" i="7"/>
  <c r="DE17" i="7"/>
  <c r="DF16" i="7"/>
  <c r="DG15" i="7"/>
  <c r="DH14" i="7"/>
  <c r="DI13" i="7"/>
  <c r="DJ12" i="7"/>
  <c r="DK11" i="7"/>
  <c r="DL10" i="7"/>
  <c r="DM9" i="7"/>
  <c r="AD97" i="7"/>
  <c r="AE96" i="7"/>
  <c r="AF95" i="7"/>
  <c r="AG94" i="7"/>
  <c r="AH93" i="7"/>
  <c r="AI92" i="7"/>
  <c r="AJ91" i="7"/>
  <c r="AK90" i="7"/>
  <c r="AL89" i="7"/>
  <c r="AM88" i="7"/>
  <c r="AN87" i="7"/>
  <c r="AO86" i="7"/>
  <c r="AP85" i="7"/>
  <c r="AQ84" i="7"/>
  <c r="AR83" i="7"/>
  <c r="AS82" i="7"/>
  <c r="AT81" i="7"/>
  <c r="AU80" i="7"/>
  <c r="AV79" i="7"/>
  <c r="AW78" i="7"/>
  <c r="AX77" i="7"/>
  <c r="AY76" i="7"/>
  <c r="AZ75" i="7"/>
  <c r="BA74" i="7"/>
  <c r="BB73" i="7"/>
  <c r="BC72" i="7"/>
  <c r="BD71" i="7"/>
  <c r="BE70" i="7"/>
  <c r="BF69" i="7"/>
  <c r="BG68" i="7"/>
  <c r="BH67" i="7"/>
  <c r="BI66" i="7"/>
  <c r="BJ65" i="7"/>
  <c r="BK64" i="7"/>
  <c r="BL63" i="7"/>
  <c r="BM62" i="7"/>
  <c r="BN61" i="7"/>
  <c r="BO60" i="7"/>
  <c r="BP59" i="7"/>
  <c r="BQ58" i="7"/>
  <c r="BR57" i="7"/>
  <c r="BS56" i="7"/>
  <c r="BT55" i="7"/>
  <c r="BU54" i="7"/>
  <c r="BV53" i="7"/>
  <c r="BW52" i="7"/>
  <c r="BX51" i="7"/>
  <c r="BY50" i="7"/>
  <c r="BZ49" i="7"/>
  <c r="CA48" i="7"/>
  <c r="CB47" i="7"/>
  <c r="CC46" i="7"/>
  <c r="CD45" i="7"/>
  <c r="CE44" i="7"/>
  <c r="CF43" i="7"/>
  <c r="CG42" i="7"/>
  <c r="CH41" i="7"/>
  <c r="CI40" i="7"/>
  <c r="CJ39" i="7"/>
  <c r="CK38" i="7"/>
  <c r="CL37" i="7"/>
  <c r="CM36" i="7"/>
  <c r="CN35" i="7"/>
  <c r="CO34" i="7"/>
  <c r="CP33" i="7"/>
  <c r="CQ32" i="7"/>
  <c r="CR31" i="7"/>
  <c r="CS30" i="7"/>
  <c r="CT29" i="7"/>
  <c r="CU28" i="7"/>
  <c r="CV27" i="7"/>
  <c r="CW26" i="7"/>
  <c r="CX25" i="7"/>
  <c r="CY24" i="7"/>
  <c r="CZ23" i="7"/>
  <c r="DA22" i="7"/>
  <c r="DB21" i="7"/>
  <c r="DC20" i="7"/>
  <c r="DD19" i="7"/>
  <c r="DE18" i="7"/>
  <c r="DF17" i="7"/>
  <c r="DG16" i="7"/>
  <c r="DH15" i="7"/>
  <c r="DI14" i="7"/>
  <c r="DJ13" i="7"/>
  <c r="DK12" i="7"/>
  <c r="DL11" i="7"/>
  <c r="DM10" i="7"/>
  <c r="DN9" i="7"/>
  <c r="AE97" i="7"/>
  <c r="AF96" i="7"/>
  <c r="AG95" i="7"/>
  <c r="AH94" i="7"/>
  <c r="AI93" i="7"/>
  <c r="AJ92" i="7"/>
  <c r="AK91" i="7"/>
  <c r="AL90" i="7"/>
  <c r="AM89" i="7"/>
  <c r="AN88" i="7"/>
  <c r="AO87" i="7"/>
  <c r="AP86" i="7"/>
  <c r="AQ85" i="7"/>
  <c r="AR84" i="7"/>
  <c r="AS83" i="7"/>
  <c r="AT82" i="7"/>
  <c r="AU81" i="7"/>
  <c r="AV80" i="7"/>
  <c r="AW79" i="7"/>
  <c r="AX78" i="7"/>
  <c r="AY77" i="7"/>
  <c r="AZ76" i="7"/>
  <c r="BA75" i="7"/>
  <c r="BB74" i="7"/>
  <c r="BC73" i="7"/>
  <c r="BD72" i="7"/>
  <c r="BE71" i="7"/>
  <c r="BF70" i="7"/>
  <c r="BG69" i="7"/>
  <c r="BH68" i="7"/>
  <c r="BI67" i="7"/>
  <c r="BJ66" i="7"/>
  <c r="BK65" i="7"/>
  <c r="BL64" i="7"/>
  <c r="BM63" i="7"/>
  <c r="BN62" i="7"/>
  <c r="BO61" i="7"/>
  <c r="BP60" i="7"/>
  <c r="BQ59" i="7"/>
  <c r="BR58" i="7"/>
  <c r="BS57" i="7"/>
  <c r="BT56" i="7"/>
  <c r="BU55" i="7"/>
  <c r="BV54" i="7"/>
  <c r="BW53" i="7"/>
  <c r="BX52" i="7"/>
  <c r="BY51" i="7"/>
  <c r="BZ50" i="7"/>
  <c r="CA49" i="7"/>
  <c r="CB48" i="7"/>
  <c r="CC47" i="7"/>
  <c r="CD46" i="7"/>
  <c r="CE45" i="7"/>
  <c r="CF44" i="7"/>
  <c r="CG43" i="7"/>
  <c r="CH42" i="7"/>
  <c r="CI41" i="7"/>
  <c r="CJ40" i="7"/>
  <c r="CK39" i="7"/>
  <c r="CL38" i="7"/>
  <c r="CM37" i="7"/>
  <c r="CN36" i="7"/>
  <c r="CO35" i="7"/>
  <c r="CP34" i="7"/>
  <c r="CQ33" i="7"/>
  <c r="CR32" i="7"/>
  <c r="CS31" i="7"/>
  <c r="CT30" i="7"/>
  <c r="CU29" i="7"/>
  <c r="CV28" i="7"/>
  <c r="CW27" i="7"/>
  <c r="CX26" i="7"/>
  <c r="CY25" i="7"/>
  <c r="CZ24" i="7"/>
  <c r="DA23" i="7"/>
  <c r="DB22" i="7"/>
  <c r="DC21" i="7"/>
  <c r="DD20" i="7"/>
  <c r="DE19" i="7"/>
  <c r="DF18" i="7"/>
  <c r="DG17" i="7"/>
  <c r="DH16" i="7"/>
  <c r="DI15" i="7"/>
  <c r="DJ14" i="7"/>
  <c r="DK13" i="7"/>
  <c r="DL12" i="7"/>
  <c r="DM11" i="7"/>
  <c r="DN10" i="7"/>
  <c r="AF97" i="7"/>
  <c r="AG96" i="7"/>
  <c r="AH95" i="7"/>
  <c r="AI94" i="7"/>
  <c r="AJ93" i="7"/>
  <c r="AK92" i="7"/>
  <c r="AL91" i="7"/>
  <c r="AM90" i="7"/>
  <c r="AN89" i="7"/>
  <c r="AO88" i="7"/>
  <c r="AP87" i="7"/>
  <c r="AQ86" i="7"/>
  <c r="AR85" i="7"/>
  <c r="AS84" i="7"/>
  <c r="AT83" i="7"/>
  <c r="AU82" i="7"/>
  <c r="AV81" i="7"/>
  <c r="AW80" i="7"/>
  <c r="AX79" i="7"/>
  <c r="AY78" i="7"/>
  <c r="AZ77" i="7"/>
  <c r="BA76" i="7"/>
  <c r="BB75" i="7"/>
  <c r="BC74" i="7"/>
  <c r="BD73" i="7"/>
  <c r="BE72" i="7"/>
  <c r="BF71" i="7"/>
  <c r="BG70" i="7"/>
  <c r="BH69" i="7"/>
  <c r="BI68" i="7"/>
  <c r="BJ67" i="7"/>
  <c r="BK66" i="7"/>
  <c r="BL65" i="7"/>
  <c r="BM64" i="7"/>
  <c r="BN63" i="7"/>
  <c r="BO62" i="7"/>
  <c r="BP61" i="7"/>
  <c r="BQ60" i="7"/>
  <c r="BR59" i="7"/>
  <c r="BS58" i="7"/>
  <c r="BT57" i="7"/>
  <c r="BU56" i="7"/>
  <c r="BV55" i="7"/>
  <c r="BW54" i="7"/>
  <c r="BX53" i="7"/>
  <c r="BY52" i="7"/>
  <c r="BZ51" i="7"/>
  <c r="CA50" i="7"/>
  <c r="CB49" i="7"/>
  <c r="CC48" i="7"/>
  <c r="CD47" i="7"/>
  <c r="CE46" i="7"/>
  <c r="CF45" i="7"/>
  <c r="CG44" i="7"/>
  <c r="CH43" i="7"/>
  <c r="CI42" i="7"/>
  <c r="CJ41" i="7"/>
  <c r="CK40" i="7"/>
  <c r="CL39" i="7"/>
  <c r="CM38" i="7"/>
  <c r="CN37" i="7"/>
  <c r="CO36" i="7"/>
  <c r="CP35" i="7"/>
  <c r="CQ34" i="7"/>
  <c r="CR33" i="7"/>
  <c r="CS32" i="7"/>
  <c r="CT31" i="7"/>
  <c r="CU30" i="7"/>
  <c r="CV29" i="7"/>
  <c r="CW28" i="7"/>
  <c r="CX27" i="7"/>
  <c r="CY26" i="7"/>
  <c r="CZ25" i="7"/>
  <c r="DA24" i="7"/>
  <c r="DB23" i="7"/>
  <c r="DC22" i="7"/>
  <c r="DD21" i="7"/>
  <c r="DE20" i="7"/>
  <c r="DF19" i="7"/>
  <c r="DG18" i="7"/>
  <c r="DH17" i="7"/>
  <c r="DI16" i="7"/>
  <c r="DJ15" i="7"/>
  <c r="DK14" i="7"/>
  <c r="DL13" i="7"/>
  <c r="DM12" i="7"/>
  <c r="DN11" i="7"/>
  <c r="AG97" i="7"/>
  <c r="AH96" i="7"/>
  <c r="AI95" i="7"/>
  <c r="AJ94" i="7"/>
  <c r="AK93" i="7"/>
  <c r="AL92" i="7"/>
  <c r="AM91" i="7"/>
  <c r="AN90" i="7"/>
  <c r="AO89" i="7"/>
  <c r="AP88" i="7"/>
  <c r="AQ87" i="7"/>
  <c r="AR86" i="7"/>
  <c r="AS85" i="7"/>
  <c r="AT84" i="7"/>
  <c r="AU83" i="7"/>
  <c r="AV82" i="7"/>
  <c r="AW81" i="7"/>
  <c r="AX80" i="7"/>
  <c r="AY79" i="7"/>
  <c r="AZ78" i="7"/>
  <c r="BA77" i="7"/>
  <c r="BB76" i="7"/>
  <c r="BC75" i="7"/>
  <c r="BD74" i="7"/>
  <c r="BE73" i="7"/>
  <c r="BF72" i="7"/>
  <c r="BG71" i="7"/>
  <c r="BH70" i="7"/>
  <c r="BI69" i="7"/>
  <c r="BJ68" i="7"/>
  <c r="BK67" i="7"/>
  <c r="BL66" i="7"/>
  <c r="BM65" i="7"/>
  <c r="BN64" i="7"/>
  <c r="BO63" i="7"/>
  <c r="BP62" i="7"/>
  <c r="BQ61" i="7"/>
  <c r="BR60" i="7"/>
  <c r="BS59" i="7"/>
  <c r="BT58" i="7"/>
  <c r="BU57" i="7"/>
  <c r="BV56" i="7"/>
  <c r="BW55" i="7"/>
  <c r="BX54" i="7"/>
  <c r="BY53" i="7"/>
  <c r="BZ52" i="7"/>
  <c r="CA51" i="7"/>
  <c r="CB50" i="7"/>
  <c r="CC49" i="7"/>
  <c r="CD48" i="7"/>
  <c r="CE47" i="7"/>
  <c r="CF46" i="7"/>
  <c r="CG45" i="7"/>
  <c r="CH44" i="7"/>
  <c r="CI43" i="7"/>
  <c r="CJ42" i="7"/>
  <c r="CK41" i="7"/>
  <c r="CL40" i="7"/>
  <c r="CM39" i="7"/>
  <c r="CN38" i="7"/>
  <c r="CO37" i="7"/>
  <c r="CP36" i="7"/>
  <c r="CQ35" i="7"/>
  <c r="CR34" i="7"/>
  <c r="CS33" i="7"/>
  <c r="CT32" i="7"/>
  <c r="CU31" i="7"/>
  <c r="CV30" i="7"/>
  <c r="CW29" i="7"/>
  <c r="CX28" i="7"/>
  <c r="CY27" i="7"/>
  <c r="CZ26" i="7"/>
  <c r="DA25" i="7"/>
  <c r="DB24" i="7"/>
  <c r="DC23" i="7"/>
  <c r="DD22" i="7"/>
  <c r="DE21" i="7"/>
  <c r="DF20" i="7"/>
  <c r="DG19" i="7"/>
  <c r="DH18" i="7"/>
  <c r="DI17" i="7"/>
  <c r="DJ16" i="7"/>
  <c r="DK15" i="7"/>
  <c r="DL14" i="7"/>
  <c r="DM13" i="7"/>
  <c r="DN12" i="7"/>
  <c r="AH97" i="7"/>
  <c r="AI96" i="7"/>
  <c r="AJ95" i="7"/>
  <c r="AK94" i="7"/>
  <c r="AL93" i="7"/>
  <c r="AM92" i="7"/>
  <c r="AN91" i="7"/>
  <c r="AO90" i="7"/>
  <c r="AP89" i="7"/>
  <c r="AQ88" i="7"/>
  <c r="AR87" i="7"/>
  <c r="AS86" i="7"/>
  <c r="AT85" i="7"/>
  <c r="AU84" i="7"/>
  <c r="AV83" i="7"/>
  <c r="AW82" i="7"/>
  <c r="AX81" i="7"/>
  <c r="AY80" i="7"/>
  <c r="AZ79" i="7"/>
  <c r="BA78" i="7"/>
  <c r="BB77" i="7"/>
  <c r="BC76" i="7"/>
  <c r="BD75" i="7"/>
  <c r="BE74" i="7"/>
  <c r="BF73" i="7"/>
  <c r="BG72" i="7"/>
  <c r="BH71" i="7"/>
  <c r="BI70" i="7"/>
  <c r="BJ69" i="7"/>
  <c r="BK68" i="7"/>
  <c r="BL67" i="7"/>
  <c r="BM66" i="7"/>
  <c r="BN65" i="7"/>
  <c r="BO64" i="7"/>
  <c r="BP63" i="7"/>
  <c r="BQ62" i="7"/>
  <c r="BR61" i="7"/>
  <c r="BS60" i="7"/>
  <c r="BT59" i="7"/>
  <c r="BU58" i="7"/>
  <c r="BV57" i="7"/>
  <c r="BW56" i="7"/>
  <c r="BX55" i="7"/>
  <c r="BY54" i="7"/>
  <c r="BZ53" i="7"/>
  <c r="CA52" i="7"/>
  <c r="CB51" i="7"/>
  <c r="CC50" i="7"/>
  <c r="CD49" i="7"/>
  <c r="CE48" i="7"/>
  <c r="CF47" i="7"/>
  <c r="CG46" i="7"/>
  <c r="CH45" i="7"/>
  <c r="CI44" i="7"/>
  <c r="CJ43" i="7"/>
  <c r="CK42" i="7"/>
  <c r="CL41" i="7"/>
  <c r="CM40" i="7"/>
  <c r="CN39" i="7"/>
  <c r="CO38" i="7"/>
  <c r="CP37" i="7"/>
  <c r="CQ36" i="7"/>
  <c r="CR35" i="7"/>
  <c r="CS34" i="7"/>
  <c r="CT33" i="7"/>
  <c r="CU32" i="7"/>
  <c r="CV31" i="7"/>
  <c r="CW30" i="7"/>
  <c r="CX29" i="7"/>
  <c r="CY28" i="7"/>
  <c r="CZ27" i="7"/>
  <c r="DA26" i="7"/>
  <c r="DB25" i="7"/>
  <c r="DC24" i="7"/>
  <c r="DD23" i="7"/>
  <c r="DE22" i="7"/>
  <c r="DF21" i="7"/>
  <c r="DG20" i="7"/>
  <c r="DH19" i="7"/>
  <c r="DI18" i="7"/>
  <c r="DJ17" i="7"/>
  <c r="DK16" i="7"/>
  <c r="DL15" i="7"/>
  <c r="DM14" i="7"/>
  <c r="DN13" i="7"/>
  <c r="AI97" i="7"/>
  <c r="AJ96" i="7"/>
  <c r="AK95" i="7"/>
  <c r="AL94" i="7"/>
  <c r="AM93" i="7"/>
  <c r="AN92" i="7"/>
  <c r="AO91" i="7"/>
  <c r="AP90" i="7"/>
  <c r="AQ89" i="7"/>
  <c r="AR88" i="7"/>
  <c r="AS87" i="7"/>
  <c r="AT86" i="7"/>
  <c r="AU85" i="7"/>
  <c r="AV84" i="7"/>
  <c r="AW83" i="7"/>
  <c r="AX82" i="7"/>
  <c r="AY81" i="7"/>
  <c r="AZ80" i="7"/>
  <c r="BA79" i="7"/>
  <c r="BB78" i="7"/>
  <c r="BC77" i="7"/>
  <c r="BD76" i="7"/>
  <c r="BE75" i="7"/>
  <c r="BF74" i="7"/>
  <c r="BG73" i="7"/>
  <c r="BH72" i="7"/>
  <c r="BI71" i="7"/>
  <c r="BJ70" i="7"/>
  <c r="BK69" i="7"/>
  <c r="BL68" i="7"/>
  <c r="BM67" i="7"/>
  <c r="BN66" i="7"/>
  <c r="BO65" i="7"/>
  <c r="BP64" i="7"/>
  <c r="BQ63" i="7"/>
  <c r="BR62" i="7"/>
  <c r="BS61" i="7"/>
  <c r="BT60" i="7"/>
  <c r="BU59" i="7"/>
  <c r="BV58" i="7"/>
  <c r="BW57" i="7"/>
  <c r="BX56" i="7"/>
  <c r="BY55" i="7"/>
  <c r="BZ54" i="7"/>
  <c r="CA53" i="7"/>
  <c r="CB52" i="7"/>
  <c r="CC51" i="7"/>
  <c r="CD50" i="7"/>
  <c r="CE49" i="7"/>
  <c r="CF48" i="7"/>
  <c r="CG47" i="7"/>
  <c r="CH46" i="7"/>
  <c r="CI45" i="7"/>
  <c r="CJ44" i="7"/>
  <c r="CK43" i="7"/>
  <c r="CL42" i="7"/>
  <c r="CM41" i="7"/>
  <c r="CN40" i="7"/>
  <c r="CO39" i="7"/>
  <c r="CP38" i="7"/>
  <c r="CQ37" i="7"/>
  <c r="CR36" i="7"/>
  <c r="CS35" i="7"/>
  <c r="CT34" i="7"/>
  <c r="CU33" i="7"/>
  <c r="CV32" i="7"/>
  <c r="CW31" i="7"/>
  <c r="CX30" i="7"/>
  <c r="CY29" i="7"/>
  <c r="CZ28" i="7"/>
  <c r="DA27" i="7"/>
  <c r="DB26" i="7"/>
  <c r="DC25" i="7"/>
  <c r="DD24" i="7"/>
  <c r="DE23" i="7"/>
  <c r="DF22" i="7"/>
  <c r="DG21" i="7"/>
  <c r="DH20" i="7"/>
  <c r="DI19" i="7"/>
  <c r="DJ18" i="7"/>
  <c r="DK17" i="7"/>
  <c r="DL16" i="7"/>
  <c r="DM15" i="7"/>
  <c r="DN14" i="7"/>
  <c r="AJ97" i="7"/>
  <c r="AK96" i="7"/>
  <c r="AL95" i="7"/>
  <c r="AM94" i="7"/>
  <c r="AN93" i="7"/>
  <c r="AO92" i="7"/>
  <c r="AP91" i="7"/>
  <c r="AQ90" i="7"/>
  <c r="AR89" i="7"/>
  <c r="AS88" i="7"/>
  <c r="AT87" i="7"/>
  <c r="AU86" i="7"/>
  <c r="AV85" i="7"/>
  <c r="AW84" i="7"/>
  <c r="AX83" i="7"/>
  <c r="AY82" i="7"/>
  <c r="AZ81" i="7"/>
  <c r="BA80" i="7"/>
  <c r="BB79" i="7"/>
  <c r="BC78" i="7"/>
  <c r="BD77" i="7"/>
  <c r="BE76" i="7"/>
  <c r="BF75" i="7"/>
  <c r="BG74" i="7"/>
  <c r="BH73" i="7"/>
  <c r="BI72" i="7"/>
  <c r="BJ71" i="7"/>
  <c r="BK70" i="7"/>
  <c r="BL69" i="7"/>
  <c r="BM68" i="7"/>
  <c r="BN67" i="7"/>
  <c r="BO66" i="7"/>
  <c r="BP65" i="7"/>
  <c r="BQ64" i="7"/>
  <c r="BR63" i="7"/>
  <c r="BS62" i="7"/>
  <c r="BT61" i="7"/>
  <c r="BU60" i="7"/>
  <c r="BV59" i="7"/>
  <c r="BW58" i="7"/>
  <c r="BX57" i="7"/>
  <c r="BY56" i="7"/>
  <c r="BZ55" i="7"/>
  <c r="CA54" i="7"/>
  <c r="CB53" i="7"/>
  <c r="CC52" i="7"/>
  <c r="CD51" i="7"/>
  <c r="CE50" i="7"/>
  <c r="CF49" i="7"/>
  <c r="CG48" i="7"/>
  <c r="CH47" i="7"/>
  <c r="CI46" i="7"/>
  <c r="CJ45" i="7"/>
  <c r="CK44" i="7"/>
  <c r="CL43" i="7"/>
  <c r="CM42" i="7"/>
  <c r="CN41" i="7"/>
  <c r="CO40" i="7"/>
  <c r="CP39" i="7"/>
  <c r="CQ38" i="7"/>
  <c r="CR37" i="7"/>
  <c r="CS36" i="7"/>
  <c r="CT35" i="7"/>
  <c r="CU34" i="7"/>
  <c r="CV33" i="7"/>
  <c r="CW32" i="7"/>
  <c r="CX31" i="7"/>
  <c r="CY30" i="7"/>
  <c r="CZ29" i="7"/>
  <c r="DA28" i="7"/>
  <c r="DB27" i="7"/>
  <c r="DC26" i="7"/>
  <c r="DD25" i="7"/>
  <c r="DE24" i="7"/>
  <c r="DF23" i="7"/>
  <c r="DG22" i="7"/>
  <c r="DH21" i="7"/>
  <c r="DI20" i="7"/>
  <c r="DJ19" i="7"/>
  <c r="DK18" i="7"/>
  <c r="DL17" i="7"/>
  <c r="DM16" i="7"/>
  <c r="DN15" i="7"/>
  <c r="AK97" i="7"/>
  <c r="AL96" i="7"/>
  <c r="AM95" i="7"/>
  <c r="AN94" i="7"/>
  <c r="AO93" i="7"/>
  <c r="AP92" i="7"/>
  <c r="AQ91" i="7"/>
  <c r="AR90" i="7"/>
  <c r="AS89" i="7"/>
  <c r="AT88" i="7"/>
  <c r="AU87" i="7"/>
  <c r="AV86" i="7"/>
  <c r="AW85" i="7"/>
  <c r="AX84" i="7"/>
  <c r="AY83" i="7"/>
  <c r="AZ82" i="7"/>
  <c r="BA81" i="7"/>
  <c r="BB80" i="7"/>
  <c r="BC79" i="7"/>
  <c r="BD78" i="7"/>
  <c r="BE77" i="7"/>
  <c r="BF76" i="7"/>
  <c r="BG75" i="7"/>
  <c r="BH74" i="7"/>
  <c r="BI73" i="7"/>
  <c r="BJ72" i="7"/>
  <c r="BK71" i="7"/>
  <c r="BL70" i="7"/>
  <c r="BM69" i="7"/>
  <c r="BN68" i="7"/>
  <c r="BO67" i="7"/>
  <c r="BP66" i="7"/>
  <c r="BQ65" i="7"/>
  <c r="BR64" i="7"/>
  <c r="BS63" i="7"/>
  <c r="BT62" i="7"/>
  <c r="BU61" i="7"/>
  <c r="BV60" i="7"/>
  <c r="BW59" i="7"/>
  <c r="BX58" i="7"/>
  <c r="BY57" i="7"/>
  <c r="BZ56" i="7"/>
  <c r="CA55" i="7"/>
  <c r="CB54" i="7"/>
  <c r="CC53" i="7"/>
  <c r="CD52" i="7"/>
  <c r="CE51" i="7"/>
  <c r="CF50" i="7"/>
  <c r="CG49" i="7"/>
  <c r="CH48" i="7"/>
  <c r="CI47" i="7"/>
  <c r="CJ46" i="7"/>
  <c r="CK45" i="7"/>
  <c r="CL44" i="7"/>
  <c r="CM43" i="7"/>
  <c r="CN42" i="7"/>
  <c r="CO41" i="7"/>
  <c r="CP40" i="7"/>
  <c r="CQ39" i="7"/>
  <c r="CR38" i="7"/>
  <c r="CS37" i="7"/>
  <c r="CT36" i="7"/>
  <c r="CU35" i="7"/>
  <c r="CV34" i="7"/>
  <c r="CW33" i="7"/>
  <c r="CX32" i="7"/>
  <c r="CY31" i="7"/>
  <c r="CZ30" i="7"/>
  <c r="DA29" i="7"/>
  <c r="DB28" i="7"/>
  <c r="DC27" i="7"/>
  <c r="DD26" i="7"/>
  <c r="DE25" i="7"/>
  <c r="DF24" i="7"/>
  <c r="DG23" i="7"/>
  <c r="DH22" i="7"/>
  <c r="DI21" i="7"/>
  <c r="DJ20" i="7"/>
  <c r="DK19" i="7"/>
  <c r="DL18" i="7"/>
  <c r="DM17" i="7"/>
  <c r="DN16" i="7"/>
  <c r="AL97" i="7"/>
  <c r="AM96" i="7"/>
  <c r="AN95" i="7"/>
  <c r="AO94" i="7"/>
  <c r="AP93" i="7"/>
  <c r="AQ92" i="7"/>
  <c r="AR91" i="7"/>
  <c r="AS90" i="7"/>
  <c r="AT89" i="7"/>
  <c r="AU88" i="7"/>
  <c r="AV87" i="7"/>
  <c r="AW86" i="7"/>
  <c r="AX85" i="7"/>
  <c r="AY84" i="7"/>
  <c r="AZ83" i="7"/>
  <c r="BA82" i="7"/>
  <c r="BB81" i="7"/>
  <c r="BC80" i="7"/>
  <c r="BD79" i="7"/>
  <c r="BE78" i="7"/>
  <c r="BF77" i="7"/>
  <c r="BG76" i="7"/>
  <c r="BH75" i="7"/>
  <c r="BI74" i="7"/>
  <c r="BJ73" i="7"/>
  <c r="BK72" i="7"/>
  <c r="BL71" i="7"/>
  <c r="BM70" i="7"/>
  <c r="BN69" i="7"/>
  <c r="BO68" i="7"/>
  <c r="BP67" i="7"/>
  <c r="BQ66" i="7"/>
  <c r="BR65" i="7"/>
  <c r="BS64" i="7"/>
  <c r="BT63" i="7"/>
  <c r="BU62" i="7"/>
  <c r="BV61" i="7"/>
  <c r="BW60" i="7"/>
  <c r="BX59" i="7"/>
  <c r="BY58" i="7"/>
  <c r="BZ57" i="7"/>
  <c r="CA56" i="7"/>
  <c r="CB55" i="7"/>
  <c r="CC54" i="7"/>
  <c r="CD53" i="7"/>
  <c r="CE52" i="7"/>
  <c r="CF51" i="7"/>
  <c r="CG50" i="7"/>
  <c r="CH49" i="7"/>
  <c r="CI48" i="7"/>
  <c r="CJ47" i="7"/>
  <c r="CK46" i="7"/>
  <c r="CL45" i="7"/>
  <c r="CM44" i="7"/>
  <c r="CN43" i="7"/>
  <c r="CO42" i="7"/>
  <c r="CP41" i="7"/>
  <c r="CQ40" i="7"/>
  <c r="CR39" i="7"/>
  <c r="CS38" i="7"/>
  <c r="CT37" i="7"/>
  <c r="CU36" i="7"/>
  <c r="CV35" i="7"/>
  <c r="CW34" i="7"/>
  <c r="CX33" i="7"/>
  <c r="CY32" i="7"/>
  <c r="CZ31" i="7"/>
  <c r="DA30" i="7"/>
  <c r="DB29" i="7"/>
  <c r="DC28" i="7"/>
  <c r="DD27" i="7"/>
  <c r="DE26" i="7"/>
  <c r="DF25" i="7"/>
  <c r="DG24" i="7"/>
  <c r="DH23" i="7"/>
  <c r="DI22" i="7"/>
  <c r="DJ21" i="7"/>
  <c r="DK20" i="7"/>
  <c r="DL19" i="7"/>
  <c r="DM18" i="7"/>
  <c r="DN17" i="7"/>
  <c r="AM97" i="7"/>
  <c r="AN96" i="7"/>
  <c r="AO95" i="7"/>
  <c r="AP94" i="7"/>
  <c r="AQ93" i="7"/>
  <c r="AR92" i="7"/>
  <c r="AS91" i="7"/>
  <c r="AT90" i="7"/>
  <c r="AU89" i="7"/>
  <c r="AV88" i="7"/>
  <c r="AW87" i="7"/>
  <c r="AX86" i="7"/>
  <c r="AY85" i="7"/>
  <c r="AZ84" i="7"/>
  <c r="BA83" i="7"/>
  <c r="BB82" i="7"/>
  <c r="BC81" i="7"/>
  <c r="BD80" i="7"/>
  <c r="BE79" i="7"/>
  <c r="BF78" i="7"/>
  <c r="BG77" i="7"/>
  <c r="BH76" i="7"/>
  <c r="BI75" i="7"/>
  <c r="BJ74" i="7"/>
  <c r="BK73" i="7"/>
  <c r="BL72" i="7"/>
  <c r="BM71" i="7"/>
  <c r="BN70" i="7"/>
  <c r="BO69" i="7"/>
  <c r="BP68" i="7"/>
  <c r="BQ67" i="7"/>
  <c r="BR66" i="7"/>
  <c r="BS65" i="7"/>
  <c r="BT64" i="7"/>
  <c r="BU63" i="7"/>
  <c r="BV62" i="7"/>
  <c r="BW61" i="7"/>
  <c r="BX60" i="7"/>
  <c r="BY59" i="7"/>
  <c r="BZ58" i="7"/>
  <c r="CA57" i="7"/>
  <c r="CB56" i="7"/>
  <c r="CC55" i="7"/>
  <c r="CD54" i="7"/>
  <c r="CE53" i="7"/>
  <c r="CF52" i="7"/>
  <c r="CG51" i="7"/>
  <c r="CH50" i="7"/>
  <c r="CI49" i="7"/>
  <c r="CJ48" i="7"/>
  <c r="CK47" i="7"/>
  <c r="CL46" i="7"/>
  <c r="CM45" i="7"/>
  <c r="CN44" i="7"/>
  <c r="CO43" i="7"/>
  <c r="CP42" i="7"/>
  <c r="CQ41" i="7"/>
  <c r="CR40" i="7"/>
  <c r="CS39" i="7"/>
  <c r="CT38" i="7"/>
  <c r="CU37" i="7"/>
  <c r="CV36" i="7"/>
  <c r="CW35" i="7"/>
  <c r="CX34" i="7"/>
  <c r="CY33" i="7"/>
  <c r="CZ32" i="7"/>
  <c r="DA31" i="7"/>
  <c r="DB30" i="7"/>
  <c r="DC29" i="7"/>
  <c r="DD28" i="7"/>
  <c r="DE27" i="7"/>
  <c r="DF26" i="7"/>
  <c r="DG25" i="7"/>
  <c r="DH24" i="7"/>
  <c r="DI23" i="7"/>
  <c r="DJ22" i="7"/>
  <c r="DK21" i="7"/>
  <c r="DL20" i="7"/>
  <c r="DM19" i="7"/>
  <c r="DN18" i="7"/>
  <c r="AN97" i="7"/>
  <c r="AO96" i="7"/>
  <c r="AP95" i="7"/>
  <c r="AQ94" i="7"/>
  <c r="AR93" i="7"/>
  <c r="AS92" i="7"/>
  <c r="AT91" i="7"/>
  <c r="AU90" i="7"/>
  <c r="AV89" i="7"/>
  <c r="AW88" i="7"/>
  <c r="AX87" i="7"/>
  <c r="AY86" i="7"/>
  <c r="AZ85" i="7"/>
  <c r="BA84" i="7"/>
  <c r="BB83" i="7"/>
  <c r="BC82" i="7"/>
  <c r="BD81" i="7"/>
  <c r="BE80" i="7"/>
  <c r="BF79" i="7"/>
  <c r="BG78" i="7"/>
  <c r="BH77" i="7"/>
  <c r="BI76" i="7"/>
  <c r="BJ75" i="7"/>
  <c r="BK74" i="7"/>
  <c r="BL73" i="7"/>
  <c r="BM72" i="7"/>
  <c r="BN71" i="7"/>
  <c r="BO70" i="7"/>
  <c r="BP69" i="7"/>
  <c r="BQ68" i="7"/>
  <c r="BR67" i="7"/>
  <c r="BS66" i="7"/>
  <c r="BT65" i="7"/>
  <c r="BU64" i="7"/>
  <c r="BV63" i="7"/>
  <c r="BW62" i="7"/>
  <c r="BX61" i="7"/>
  <c r="BY60" i="7"/>
  <c r="BZ59" i="7"/>
  <c r="CA58" i="7"/>
  <c r="CB57" i="7"/>
  <c r="CC56" i="7"/>
  <c r="CD55" i="7"/>
  <c r="CE54" i="7"/>
  <c r="CF53" i="7"/>
  <c r="CG52" i="7"/>
  <c r="CH51" i="7"/>
  <c r="CI50" i="7"/>
  <c r="CJ49" i="7"/>
  <c r="CK48" i="7"/>
  <c r="CL47" i="7"/>
  <c r="CM46" i="7"/>
  <c r="CN45" i="7"/>
  <c r="CO44" i="7"/>
  <c r="CP43" i="7"/>
  <c r="CQ42" i="7"/>
  <c r="CR41" i="7"/>
  <c r="CS40" i="7"/>
  <c r="CT39" i="7"/>
  <c r="CU38" i="7"/>
  <c r="CV37" i="7"/>
  <c r="CW36" i="7"/>
  <c r="CX35" i="7"/>
  <c r="CY34" i="7"/>
  <c r="CZ33" i="7"/>
  <c r="DA32" i="7"/>
  <c r="DB31" i="7"/>
  <c r="DC30" i="7"/>
  <c r="DD29" i="7"/>
  <c r="DE28" i="7"/>
  <c r="DF27" i="7"/>
  <c r="DG26" i="7"/>
  <c r="DH25" i="7"/>
  <c r="DI24" i="7"/>
  <c r="DJ23" i="7"/>
  <c r="DK22" i="7"/>
  <c r="DL21" i="7"/>
  <c r="DM20" i="7"/>
  <c r="DN19" i="7"/>
  <c r="AO97" i="7"/>
  <c r="AP96" i="7"/>
  <c r="AQ95" i="7"/>
  <c r="AR94" i="7"/>
  <c r="AS93" i="7"/>
  <c r="AT92" i="7"/>
  <c r="AU91" i="7"/>
  <c r="AV90" i="7"/>
  <c r="AW89" i="7"/>
  <c r="AX88" i="7"/>
  <c r="AY87" i="7"/>
  <c r="AZ86" i="7"/>
  <c r="BA85" i="7"/>
  <c r="BB84" i="7"/>
  <c r="BC83" i="7"/>
  <c r="BD82" i="7"/>
  <c r="BE81" i="7"/>
  <c r="BF80" i="7"/>
  <c r="BG79" i="7"/>
  <c r="BH78" i="7"/>
  <c r="BI77" i="7"/>
  <c r="BJ76" i="7"/>
  <c r="BK75" i="7"/>
  <c r="BL74" i="7"/>
  <c r="BM73" i="7"/>
  <c r="BN72" i="7"/>
  <c r="BO71" i="7"/>
  <c r="BP70" i="7"/>
  <c r="BQ69" i="7"/>
  <c r="BR68" i="7"/>
  <c r="BS67" i="7"/>
  <c r="BT66" i="7"/>
  <c r="BU65" i="7"/>
  <c r="BV64" i="7"/>
  <c r="BW63" i="7"/>
  <c r="BX62" i="7"/>
  <c r="BY61" i="7"/>
  <c r="BZ60" i="7"/>
  <c r="CA59" i="7"/>
  <c r="CB58" i="7"/>
  <c r="CC57" i="7"/>
  <c r="CD56" i="7"/>
  <c r="CE55" i="7"/>
  <c r="CF54" i="7"/>
  <c r="CG53" i="7"/>
  <c r="CH52" i="7"/>
  <c r="CI51" i="7"/>
  <c r="CJ50" i="7"/>
  <c r="CK49" i="7"/>
  <c r="CL48" i="7"/>
  <c r="CM47" i="7"/>
  <c r="CN46" i="7"/>
  <c r="CO45" i="7"/>
  <c r="CP44" i="7"/>
  <c r="CQ43" i="7"/>
  <c r="CR42" i="7"/>
  <c r="CS41" i="7"/>
  <c r="CT40" i="7"/>
  <c r="CU39" i="7"/>
  <c r="CV38" i="7"/>
  <c r="CW37" i="7"/>
  <c r="CX36" i="7"/>
  <c r="CY35" i="7"/>
  <c r="CZ34" i="7"/>
  <c r="DA33" i="7"/>
  <c r="DB32" i="7"/>
  <c r="DC31" i="7"/>
  <c r="DD30" i="7"/>
  <c r="DE29" i="7"/>
  <c r="DF28" i="7"/>
  <c r="DG27" i="7"/>
  <c r="DH26" i="7"/>
  <c r="DI25" i="7"/>
  <c r="DJ24" i="7"/>
  <c r="DK23" i="7"/>
  <c r="DL22" i="7"/>
  <c r="DM21" i="7"/>
  <c r="DN20" i="7"/>
  <c r="AP97" i="7"/>
  <c r="AQ96" i="7"/>
  <c r="AR95" i="7"/>
  <c r="AS94" i="7"/>
  <c r="AT93" i="7"/>
  <c r="AU92" i="7"/>
  <c r="AV91" i="7"/>
  <c r="AW90" i="7"/>
  <c r="AX89" i="7"/>
  <c r="AY88" i="7"/>
  <c r="AZ87" i="7"/>
  <c r="BA86" i="7"/>
  <c r="BB85" i="7"/>
  <c r="BC84" i="7"/>
  <c r="BD83" i="7"/>
  <c r="BE82" i="7"/>
  <c r="BF81" i="7"/>
  <c r="BG80" i="7"/>
  <c r="BH79" i="7"/>
  <c r="BI78" i="7"/>
  <c r="BJ77" i="7"/>
  <c r="BK76" i="7"/>
  <c r="BL75" i="7"/>
  <c r="BM74" i="7"/>
  <c r="BN73" i="7"/>
  <c r="BO72" i="7"/>
  <c r="BP71" i="7"/>
  <c r="BQ70" i="7"/>
  <c r="BR69" i="7"/>
  <c r="BS68" i="7"/>
  <c r="BT67" i="7"/>
  <c r="BU66" i="7"/>
  <c r="BV65" i="7"/>
  <c r="BW64" i="7"/>
  <c r="BX63" i="7"/>
  <c r="BY62" i="7"/>
  <c r="BZ61" i="7"/>
  <c r="CA60" i="7"/>
  <c r="CB59" i="7"/>
  <c r="CC58" i="7"/>
  <c r="CD57" i="7"/>
  <c r="CE56" i="7"/>
  <c r="CF55" i="7"/>
  <c r="CG54" i="7"/>
  <c r="CH53" i="7"/>
  <c r="CI52" i="7"/>
  <c r="CJ51" i="7"/>
  <c r="CK50" i="7"/>
  <c r="CL49" i="7"/>
  <c r="CM48" i="7"/>
  <c r="CN47" i="7"/>
  <c r="CO46" i="7"/>
  <c r="CP45" i="7"/>
  <c r="CQ44" i="7"/>
  <c r="CR43" i="7"/>
  <c r="CS42" i="7"/>
  <c r="CT41" i="7"/>
  <c r="CU40" i="7"/>
  <c r="CV39" i="7"/>
  <c r="CW38" i="7"/>
  <c r="CX37" i="7"/>
  <c r="CY36" i="7"/>
  <c r="CZ35" i="7"/>
  <c r="DA34" i="7"/>
  <c r="DB33" i="7"/>
  <c r="DC32" i="7"/>
  <c r="DD31" i="7"/>
  <c r="DE30" i="7"/>
  <c r="DF29" i="7"/>
  <c r="DG28" i="7"/>
  <c r="DH27" i="7"/>
  <c r="DI26" i="7"/>
  <c r="DJ25" i="7"/>
  <c r="DK24" i="7"/>
  <c r="DL23" i="7"/>
  <c r="DM22" i="7"/>
  <c r="DN21" i="7"/>
  <c r="AQ97" i="7"/>
  <c r="AR96" i="7"/>
  <c r="AS95" i="7"/>
  <c r="AT94" i="7"/>
  <c r="AU93" i="7"/>
  <c r="AV92" i="7"/>
  <c r="AW91" i="7"/>
  <c r="AX90" i="7"/>
  <c r="AY89" i="7"/>
  <c r="AZ88" i="7"/>
  <c r="BA87" i="7"/>
  <c r="BB86" i="7"/>
  <c r="BC85" i="7"/>
  <c r="BD84" i="7"/>
  <c r="BE83" i="7"/>
  <c r="BF82" i="7"/>
  <c r="BG81" i="7"/>
  <c r="BH80" i="7"/>
  <c r="BI79" i="7"/>
  <c r="BJ78" i="7"/>
  <c r="BK77" i="7"/>
  <c r="BL76" i="7"/>
  <c r="BM75" i="7"/>
  <c r="BN74" i="7"/>
  <c r="BO73" i="7"/>
  <c r="BP72" i="7"/>
  <c r="BQ71" i="7"/>
  <c r="BR70" i="7"/>
  <c r="BS69" i="7"/>
  <c r="BT68" i="7"/>
  <c r="BU67" i="7"/>
  <c r="BV66" i="7"/>
  <c r="BW65" i="7"/>
  <c r="BX64" i="7"/>
  <c r="BY63" i="7"/>
  <c r="BZ62" i="7"/>
  <c r="CA61" i="7"/>
  <c r="CB60" i="7"/>
  <c r="CC59" i="7"/>
  <c r="CD58" i="7"/>
  <c r="CE57" i="7"/>
  <c r="CF56" i="7"/>
  <c r="CG55" i="7"/>
  <c r="CH54" i="7"/>
  <c r="CI53" i="7"/>
  <c r="CJ52" i="7"/>
  <c r="CK51" i="7"/>
  <c r="CL50" i="7"/>
  <c r="CM49" i="7"/>
  <c r="CN48" i="7"/>
  <c r="CO47" i="7"/>
  <c r="CP46" i="7"/>
  <c r="CQ45" i="7"/>
  <c r="CR44" i="7"/>
  <c r="CS43" i="7"/>
  <c r="CT42" i="7"/>
  <c r="CU41" i="7"/>
  <c r="CV40" i="7"/>
  <c r="CW39" i="7"/>
  <c r="CX38" i="7"/>
  <c r="CY37" i="7"/>
  <c r="CZ36" i="7"/>
  <c r="DA35" i="7"/>
  <c r="DB34" i="7"/>
  <c r="DC33" i="7"/>
  <c r="DD32" i="7"/>
  <c r="DE31" i="7"/>
  <c r="DF30" i="7"/>
  <c r="DG29" i="7"/>
  <c r="DH28" i="7"/>
  <c r="DI27" i="7"/>
  <c r="DJ26" i="7"/>
  <c r="DK25" i="7"/>
  <c r="DL24" i="7"/>
  <c r="DM23" i="7"/>
  <c r="DN22" i="7"/>
  <c r="AR97" i="7"/>
  <c r="AS96" i="7"/>
  <c r="AT95" i="7"/>
  <c r="AU94" i="7"/>
  <c r="AV93" i="7"/>
  <c r="AW92" i="7"/>
  <c r="AX91" i="7"/>
  <c r="AY90" i="7"/>
  <c r="AZ89" i="7"/>
  <c r="BA88" i="7"/>
  <c r="BB87" i="7"/>
  <c r="BC86" i="7"/>
  <c r="BD85" i="7"/>
  <c r="BE84" i="7"/>
  <c r="BF83" i="7"/>
  <c r="BG82" i="7"/>
  <c r="BH81" i="7"/>
  <c r="BI80" i="7"/>
  <c r="BJ79" i="7"/>
  <c r="BK78" i="7"/>
  <c r="BL77" i="7"/>
  <c r="BM76" i="7"/>
  <c r="BN75" i="7"/>
  <c r="BO74" i="7"/>
  <c r="BP73" i="7"/>
  <c r="BQ72" i="7"/>
  <c r="BR71" i="7"/>
  <c r="BS70" i="7"/>
  <c r="BT69" i="7"/>
  <c r="BU68" i="7"/>
  <c r="BV67" i="7"/>
  <c r="BW66" i="7"/>
  <c r="BX65" i="7"/>
  <c r="BY64" i="7"/>
  <c r="BZ63" i="7"/>
  <c r="CA62" i="7"/>
  <c r="CB61" i="7"/>
  <c r="CC60" i="7"/>
  <c r="CD59" i="7"/>
  <c r="CE58" i="7"/>
  <c r="CF57" i="7"/>
  <c r="CG56" i="7"/>
  <c r="CH55" i="7"/>
  <c r="CI54" i="7"/>
  <c r="CJ53" i="7"/>
  <c r="CK52" i="7"/>
  <c r="CL51" i="7"/>
  <c r="CM50" i="7"/>
  <c r="CN49" i="7"/>
  <c r="CO48" i="7"/>
  <c r="CP47" i="7"/>
  <c r="CQ46" i="7"/>
  <c r="CR45" i="7"/>
  <c r="CS44" i="7"/>
  <c r="CT43" i="7"/>
  <c r="CU42" i="7"/>
  <c r="CV41" i="7"/>
  <c r="CW40" i="7"/>
  <c r="CX39" i="7"/>
  <c r="CY38" i="7"/>
  <c r="CZ37" i="7"/>
  <c r="DA36" i="7"/>
  <c r="DB35" i="7"/>
  <c r="DC34" i="7"/>
  <c r="DD33" i="7"/>
  <c r="DE32" i="7"/>
  <c r="DF31" i="7"/>
  <c r="DG30" i="7"/>
  <c r="DH29" i="7"/>
  <c r="DI28" i="7"/>
  <c r="DJ27" i="7"/>
  <c r="DK26" i="7"/>
  <c r="DL25" i="7"/>
  <c r="DM24" i="7"/>
  <c r="DN23" i="7"/>
  <c r="AS97" i="7"/>
  <c r="AT96" i="7"/>
  <c r="AU95" i="7"/>
  <c r="AV94" i="7"/>
  <c r="AW93" i="7"/>
  <c r="AX92" i="7"/>
  <c r="AY91" i="7"/>
  <c r="AZ90" i="7"/>
  <c r="BA89" i="7"/>
  <c r="BB88" i="7"/>
  <c r="BC87" i="7"/>
  <c r="BD86" i="7"/>
  <c r="BE85" i="7"/>
  <c r="BF84" i="7"/>
  <c r="BG83" i="7"/>
  <c r="BH82" i="7"/>
  <c r="BI81" i="7"/>
  <c r="BJ80" i="7"/>
  <c r="BK79" i="7"/>
  <c r="BL78" i="7"/>
  <c r="BM77" i="7"/>
  <c r="BN76" i="7"/>
  <c r="BO75" i="7"/>
  <c r="BP74" i="7"/>
  <c r="BQ73" i="7"/>
  <c r="BR72" i="7"/>
  <c r="BS71" i="7"/>
  <c r="BT70" i="7"/>
  <c r="BU69" i="7"/>
  <c r="BV68" i="7"/>
  <c r="BW67" i="7"/>
  <c r="BX66" i="7"/>
  <c r="BY65" i="7"/>
  <c r="BZ64" i="7"/>
  <c r="CA63" i="7"/>
  <c r="CB62" i="7"/>
  <c r="CC61" i="7"/>
  <c r="CD60" i="7"/>
  <c r="CE59" i="7"/>
  <c r="CF58" i="7"/>
  <c r="CG57" i="7"/>
  <c r="CH56" i="7"/>
  <c r="CI55" i="7"/>
  <c r="CJ54" i="7"/>
  <c r="CK53" i="7"/>
  <c r="CL52" i="7"/>
  <c r="CM51" i="7"/>
  <c r="CN50" i="7"/>
  <c r="CO49" i="7"/>
  <c r="CP48" i="7"/>
  <c r="CQ47" i="7"/>
  <c r="CR46" i="7"/>
  <c r="CS45" i="7"/>
  <c r="CT44" i="7"/>
  <c r="CU43" i="7"/>
  <c r="CV42" i="7"/>
  <c r="CW41" i="7"/>
  <c r="CX40" i="7"/>
  <c r="CY39" i="7"/>
  <c r="CZ38" i="7"/>
  <c r="DA37" i="7"/>
  <c r="DB36" i="7"/>
  <c r="DC35" i="7"/>
  <c r="DD34" i="7"/>
  <c r="DE33" i="7"/>
  <c r="DF32" i="7"/>
  <c r="DG31" i="7"/>
  <c r="DH30" i="7"/>
  <c r="DI29" i="7"/>
  <c r="DJ28" i="7"/>
  <c r="DK27" i="7"/>
  <c r="DL26" i="7"/>
  <c r="DM25" i="7"/>
  <c r="DN24" i="7"/>
  <c r="AT97" i="7"/>
  <c r="AU96" i="7"/>
  <c r="AV95" i="7"/>
  <c r="AW94" i="7"/>
  <c r="AX93" i="7"/>
  <c r="AY92" i="7"/>
  <c r="AZ91" i="7"/>
  <c r="BA90" i="7"/>
  <c r="BB89" i="7"/>
  <c r="BC88" i="7"/>
  <c r="BD87" i="7"/>
  <c r="BE86" i="7"/>
  <c r="BF85" i="7"/>
  <c r="BG84" i="7"/>
  <c r="BH83" i="7"/>
  <c r="BI82" i="7"/>
  <c r="BJ81" i="7"/>
  <c r="BK80" i="7"/>
  <c r="BL79" i="7"/>
  <c r="BM78" i="7"/>
  <c r="BN77" i="7"/>
  <c r="BO76" i="7"/>
  <c r="BP75" i="7"/>
  <c r="BQ74" i="7"/>
  <c r="BR73" i="7"/>
  <c r="BS72" i="7"/>
  <c r="BT71" i="7"/>
  <c r="BU70" i="7"/>
  <c r="BV69" i="7"/>
  <c r="BW68" i="7"/>
  <c r="BX67" i="7"/>
  <c r="BY66" i="7"/>
  <c r="BZ65" i="7"/>
  <c r="CA64" i="7"/>
  <c r="CB63" i="7"/>
  <c r="CC62" i="7"/>
  <c r="CD61" i="7"/>
  <c r="CE60" i="7"/>
  <c r="CF59" i="7"/>
  <c r="CG58" i="7"/>
  <c r="CH57" i="7"/>
  <c r="CI56" i="7"/>
  <c r="CJ55" i="7"/>
  <c r="CK54" i="7"/>
  <c r="CL53" i="7"/>
  <c r="CM52" i="7"/>
  <c r="CN51" i="7"/>
  <c r="CO50" i="7"/>
  <c r="CP49" i="7"/>
  <c r="CQ48" i="7"/>
  <c r="CR47" i="7"/>
  <c r="CS46" i="7"/>
  <c r="CT45" i="7"/>
  <c r="CU44" i="7"/>
  <c r="CV43" i="7"/>
  <c r="CW42" i="7"/>
  <c r="CX41" i="7"/>
  <c r="CY40" i="7"/>
  <c r="CZ39" i="7"/>
  <c r="DA38" i="7"/>
  <c r="DB37" i="7"/>
  <c r="DC36" i="7"/>
  <c r="DD35" i="7"/>
  <c r="DE34" i="7"/>
  <c r="DF33" i="7"/>
  <c r="DG32" i="7"/>
  <c r="DH31" i="7"/>
  <c r="DI30" i="7"/>
  <c r="DJ29" i="7"/>
  <c r="DK28" i="7"/>
  <c r="DL27" i="7"/>
  <c r="DM26" i="7"/>
  <c r="DN25" i="7"/>
  <c r="AU97" i="7"/>
  <c r="AV96" i="7"/>
  <c r="AW95" i="7"/>
  <c r="AX94" i="7"/>
  <c r="AY93" i="7"/>
  <c r="AZ92" i="7"/>
  <c r="BA91" i="7"/>
  <c r="BB90" i="7"/>
  <c r="BC89" i="7"/>
  <c r="BD88" i="7"/>
  <c r="BE87" i="7"/>
  <c r="BF86" i="7"/>
  <c r="BG85" i="7"/>
  <c r="BH84" i="7"/>
  <c r="BI83" i="7"/>
  <c r="BJ82" i="7"/>
  <c r="BK81" i="7"/>
  <c r="BL80" i="7"/>
  <c r="BM79" i="7"/>
  <c r="BN78" i="7"/>
  <c r="BO77" i="7"/>
  <c r="BP76" i="7"/>
  <c r="BQ75" i="7"/>
  <c r="BR74" i="7"/>
  <c r="BS73" i="7"/>
  <c r="BT72" i="7"/>
  <c r="BU71" i="7"/>
  <c r="BV70" i="7"/>
  <c r="BW69" i="7"/>
  <c r="BX68" i="7"/>
  <c r="BY67" i="7"/>
  <c r="BZ66" i="7"/>
  <c r="CA65" i="7"/>
  <c r="CB64" i="7"/>
  <c r="CC63" i="7"/>
  <c r="CD62" i="7"/>
  <c r="CE61" i="7"/>
  <c r="CF60" i="7"/>
  <c r="CG59" i="7"/>
  <c r="CH58" i="7"/>
  <c r="CI57" i="7"/>
  <c r="CJ56" i="7"/>
  <c r="CK55" i="7"/>
  <c r="CL54" i="7"/>
  <c r="CM53" i="7"/>
  <c r="CN52" i="7"/>
  <c r="CO51" i="7"/>
  <c r="CP50" i="7"/>
  <c r="CQ49" i="7"/>
  <c r="CR48" i="7"/>
  <c r="CS47" i="7"/>
  <c r="CT46" i="7"/>
  <c r="CU45" i="7"/>
  <c r="CV44" i="7"/>
  <c r="CW43" i="7"/>
  <c r="CX42" i="7"/>
  <c r="CY41" i="7"/>
  <c r="CZ40" i="7"/>
  <c r="DA39" i="7"/>
  <c r="DB38" i="7"/>
  <c r="DC37" i="7"/>
  <c r="DD36" i="7"/>
  <c r="DE35" i="7"/>
  <c r="DF34" i="7"/>
  <c r="DG33" i="7"/>
  <c r="DH32" i="7"/>
  <c r="DI31" i="7"/>
  <c r="DJ30" i="7"/>
  <c r="DK29" i="7"/>
  <c r="DL28" i="7"/>
  <c r="DM27" i="7"/>
  <c r="DN26" i="7"/>
  <c r="AV97" i="7"/>
  <c r="AW96" i="7"/>
  <c r="AX95" i="7"/>
  <c r="AY94" i="7"/>
  <c r="AZ93" i="7"/>
  <c r="BA92" i="7"/>
  <c r="BB91" i="7"/>
  <c r="BC90" i="7"/>
  <c r="BD89" i="7"/>
  <c r="BE88" i="7"/>
  <c r="BF87" i="7"/>
  <c r="BG86" i="7"/>
  <c r="BH85" i="7"/>
  <c r="BI84" i="7"/>
  <c r="BJ83" i="7"/>
  <c r="BK82" i="7"/>
  <c r="BL81" i="7"/>
  <c r="BM80" i="7"/>
  <c r="BN79" i="7"/>
  <c r="BO78" i="7"/>
  <c r="BP77" i="7"/>
  <c r="BQ76" i="7"/>
  <c r="BR75" i="7"/>
  <c r="BS74" i="7"/>
  <c r="BT73" i="7"/>
  <c r="BU72" i="7"/>
  <c r="BV71" i="7"/>
  <c r="BW70" i="7"/>
  <c r="BX69" i="7"/>
  <c r="BY68" i="7"/>
  <c r="BZ67" i="7"/>
  <c r="CA66" i="7"/>
  <c r="CB65" i="7"/>
  <c r="CC64" i="7"/>
  <c r="CD63" i="7"/>
  <c r="CE62" i="7"/>
  <c r="CF61" i="7"/>
  <c r="CG60" i="7"/>
  <c r="CH59" i="7"/>
  <c r="CI58" i="7"/>
  <c r="CJ57" i="7"/>
  <c r="CK56" i="7"/>
  <c r="CL55" i="7"/>
  <c r="CM54" i="7"/>
  <c r="CN53" i="7"/>
  <c r="CO52" i="7"/>
  <c r="CP51" i="7"/>
  <c r="CQ50" i="7"/>
  <c r="CR49" i="7"/>
  <c r="CS48" i="7"/>
  <c r="CT47" i="7"/>
  <c r="CU46" i="7"/>
  <c r="CV45" i="7"/>
  <c r="CW44" i="7"/>
  <c r="CX43" i="7"/>
  <c r="CY42" i="7"/>
  <c r="CZ41" i="7"/>
  <c r="DA40" i="7"/>
  <c r="DB39" i="7"/>
  <c r="DC38" i="7"/>
  <c r="DD37" i="7"/>
  <c r="DE36" i="7"/>
  <c r="DF35" i="7"/>
  <c r="DG34" i="7"/>
  <c r="DH33" i="7"/>
  <c r="DI32" i="7"/>
  <c r="DJ31" i="7"/>
  <c r="DK30" i="7"/>
  <c r="DL29" i="7"/>
  <c r="DM28" i="7"/>
  <c r="DN27" i="7"/>
  <c r="AW97" i="7"/>
  <c r="AX96" i="7"/>
  <c r="AY95" i="7"/>
  <c r="AZ94" i="7"/>
  <c r="BA93" i="7"/>
  <c r="BB92" i="7"/>
  <c r="BC91" i="7"/>
  <c r="BD90" i="7"/>
  <c r="BE89" i="7"/>
  <c r="BF88" i="7"/>
  <c r="BG87" i="7"/>
  <c r="BH86" i="7"/>
  <c r="BI85" i="7"/>
  <c r="BJ84" i="7"/>
  <c r="BK83" i="7"/>
  <c r="BL82" i="7"/>
  <c r="BM81" i="7"/>
  <c r="BN80" i="7"/>
  <c r="BO79" i="7"/>
  <c r="BP78" i="7"/>
  <c r="BQ77" i="7"/>
  <c r="BR76" i="7"/>
  <c r="BS75" i="7"/>
  <c r="BT74" i="7"/>
  <c r="BU73" i="7"/>
  <c r="BV72" i="7"/>
  <c r="BW71" i="7"/>
  <c r="BX70" i="7"/>
  <c r="BY69" i="7"/>
  <c r="BZ68" i="7"/>
  <c r="CA67" i="7"/>
  <c r="CB66" i="7"/>
  <c r="CC65" i="7"/>
  <c r="CD64" i="7"/>
  <c r="CE63" i="7"/>
  <c r="CF62" i="7"/>
  <c r="CG61" i="7"/>
  <c r="CH60" i="7"/>
  <c r="CI59" i="7"/>
  <c r="CJ58" i="7"/>
  <c r="CK57" i="7"/>
  <c r="CL56" i="7"/>
  <c r="CM55" i="7"/>
  <c r="CN54" i="7"/>
  <c r="CO53" i="7"/>
  <c r="CP52" i="7"/>
  <c r="CQ51" i="7"/>
  <c r="CR50" i="7"/>
  <c r="CS49" i="7"/>
  <c r="CT48" i="7"/>
  <c r="CU47" i="7"/>
  <c r="CV46" i="7"/>
  <c r="CW45" i="7"/>
  <c r="CX44" i="7"/>
  <c r="CY43" i="7"/>
  <c r="CZ42" i="7"/>
  <c r="DA41" i="7"/>
  <c r="DB40" i="7"/>
  <c r="DC39" i="7"/>
  <c r="DD38" i="7"/>
  <c r="DE37" i="7"/>
  <c r="DF36" i="7"/>
  <c r="DG35" i="7"/>
  <c r="DH34" i="7"/>
  <c r="DI33" i="7"/>
  <c r="DJ32" i="7"/>
  <c r="DK31" i="7"/>
  <c r="DL30" i="7"/>
  <c r="DM29" i="7"/>
  <c r="DN28" i="7"/>
  <c r="AX97" i="7"/>
  <c r="AY96" i="7"/>
  <c r="AZ95" i="7"/>
  <c r="BA94" i="7"/>
  <c r="BB93" i="7"/>
  <c r="BC92" i="7"/>
  <c r="BD91" i="7"/>
  <c r="BE90" i="7"/>
  <c r="BF89" i="7"/>
  <c r="BG88" i="7"/>
  <c r="BH87" i="7"/>
  <c r="BI86" i="7"/>
  <c r="BJ85" i="7"/>
  <c r="BK84" i="7"/>
  <c r="BL83" i="7"/>
  <c r="BM82" i="7"/>
  <c r="BN81" i="7"/>
  <c r="BO80" i="7"/>
  <c r="BP79" i="7"/>
  <c r="BQ78" i="7"/>
  <c r="BR77" i="7"/>
  <c r="BS76" i="7"/>
  <c r="BT75" i="7"/>
  <c r="BU74" i="7"/>
  <c r="BV73" i="7"/>
  <c r="BW72" i="7"/>
  <c r="BX71" i="7"/>
  <c r="BY70" i="7"/>
  <c r="BZ69" i="7"/>
  <c r="CA68" i="7"/>
  <c r="CB67" i="7"/>
  <c r="CC66" i="7"/>
  <c r="CD65" i="7"/>
  <c r="CE64" i="7"/>
  <c r="CF63" i="7"/>
  <c r="CG62" i="7"/>
  <c r="CH61" i="7"/>
  <c r="CI60" i="7"/>
  <c r="CJ59" i="7"/>
  <c r="CK58" i="7"/>
  <c r="CL57" i="7"/>
  <c r="CM56" i="7"/>
  <c r="CN55" i="7"/>
  <c r="CO54" i="7"/>
  <c r="CP53" i="7"/>
  <c r="CQ52" i="7"/>
  <c r="CR51" i="7"/>
  <c r="CS50" i="7"/>
  <c r="CT49" i="7"/>
  <c r="CU48" i="7"/>
  <c r="CV47" i="7"/>
  <c r="CW46" i="7"/>
  <c r="CX45" i="7"/>
  <c r="CY44" i="7"/>
  <c r="CZ43" i="7"/>
  <c r="DA42" i="7"/>
  <c r="DB41" i="7"/>
  <c r="DC40" i="7"/>
  <c r="DD39" i="7"/>
  <c r="DE38" i="7"/>
  <c r="DF37" i="7"/>
  <c r="DG36" i="7"/>
  <c r="DH35" i="7"/>
  <c r="DI34" i="7"/>
  <c r="DJ33" i="7"/>
  <c r="DK32" i="7"/>
  <c r="DL31" i="7"/>
  <c r="DM30" i="7"/>
  <c r="DN29" i="7"/>
  <c r="AY97" i="7"/>
  <c r="AZ96" i="7"/>
  <c r="BA95" i="7"/>
  <c r="BB94" i="7"/>
  <c r="BC93" i="7"/>
  <c r="BD92" i="7"/>
  <c r="BE91" i="7"/>
  <c r="BF90" i="7"/>
  <c r="BG89" i="7"/>
  <c r="BH88" i="7"/>
  <c r="BI87" i="7"/>
  <c r="BJ86" i="7"/>
  <c r="BK85" i="7"/>
  <c r="BL84" i="7"/>
  <c r="BM83" i="7"/>
  <c r="BN82" i="7"/>
  <c r="BO81" i="7"/>
  <c r="BP80" i="7"/>
  <c r="BQ79" i="7"/>
  <c r="BR78" i="7"/>
  <c r="BS77" i="7"/>
  <c r="BT76" i="7"/>
  <c r="BU75" i="7"/>
  <c r="BV74" i="7"/>
  <c r="BW73" i="7"/>
  <c r="BX72" i="7"/>
  <c r="BY71" i="7"/>
  <c r="BZ70" i="7"/>
  <c r="CA69" i="7"/>
  <c r="CB68" i="7"/>
  <c r="CC67" i="7"/>
  <c r="CD66" i="7"/>
  <c r="CE65" i="7"/>
  <c r="CF64" i="7"/>
  <c r="CG63" i="7"/>
  <c r="CH62" i="7"/>
  <c r="CI61" i="7"/>
  <c r="CJ60" i="7"/>
  <c r="CK59" i="7"/>
  <c r="CL58" i="7"/>
  <c r="CM57" i="7"/>
  <c r="CN56" i="7"/>
  <c r="CO55" i="7"/>
  <c r="CP54" i="7"/>
  <c r="CQ53" i="7"/>
  <c r="CR52" i="7"/>
  <c r="CS51" i="7"/>
  <c r="CT50" i="7"/>
  <c r="CU49" i="7"/>
  <c r="CV48" i="7"/>
  <c r="CW47" i="7"/>
  <c r="CX46" i="7"/>
  <c r="CY45" i="7"/>
  <c r="CZ44" i="7"/>
  <c r="DA43" i="7"/>
  <c r="DB42" i="7"/>
  <c r="DC41" i="7"/>
  <c r="DD40" i="7"/>
  <c r="DE39" i="7"/>
  <c r="DF38" i="7"/>
  <c r="DG37" i="7"/>
  <c r="DH36" i="7"/>
  <c r="DI35" i="7"/>
  <c r="DJ34" i="7"/>
  <c r="DK33" i="7"/>
  <c r="DL32" i="7"/>
  <c r="DM31" i="7"/>
  <c r="DN30" i="7"/>
  <c r="AZ97" i="7"/>
  <c r="BA96" i="7"/>
  <c r="BB95" i="7"/>
  <c r="BC94" i="7"/>
  <c r="BD93" i="7"/>
  <c r="BE92" i="7"/>
  <c r="BF91" i="7"/>
  <c r="BG90" i="7"/>
  <c r="BH89" i="7"/>
  <c r="BI88" i="7"/>
  <c r="BJ87" i="7"/>
  <c r="BK86" i="7"/>
  <c r="BL85" i="7"/>
  <c r="BM84" i="7"/>
  <c r="BN83" i="7"/>
  <c r="BO82" i="7"/>
  <c r="BP81" i="7"/>
  <c r="BQ80" i="7"/>
  <c r="BR79" i="7"/>
  <c r="BS78" i="7"/>
  <c r="BT77" i="7"/>
  <c r="BU76" i="7"/>
  <c r="BV75" i="7"/>
  <c r="BW74" i="7"/>
  <c r="BX73" i="7"/>
  <c r="BY72" i="7"/>
  <c r="BZ71" i="7"/>
  <c r="CA70" i="7"/>
  <c r="CB69" i="7"/>
  <c r="CC68" i="7"/>
  <c r="CD67" i="7"/>
  <c r="CE66" i="7"/>
  <c r="CF65" i="7"/>
  <c r="CG64" i="7"/>
  <c r="CH63" i="7"/>
  <c r="CI62" i="7"/>
  <c r="CJ61" i="7"/>
  <c r="CK60" i="7"/>
  <c r="CL59" i="7"/>
  <c r="CM58" i="7"/>
  <c r="CN57" i="7"/>
  <c r="CO56" i="7"/>
  <c r="CP55" i="7"/>
  <c r="CQ54" i="7"/>
  <c r="CR53" i="7"/>
  <c r="CS52" i="7"/>
  <c r="CT51" i="7"/>
  <c r="CU50" i="7"/>
  <c r="CV49" i="7"/>
  <c r="CW48" i="7"/>
  <c r="CX47" i="7"/>
  <c r="CY46" i="7"/>
  <c r="CZ45" i="7"/>
  <c r="DA44" i="7"/>
  <c r="DB43" i="7"/>
  <c r="DC42" i="7"/>
  <c r="DD41" i="7"/>
  <c r="DE40" i="7"/>
  <c r="DF39" i="7"/>
  <c r="DG38" i="7"/>
  <c r="DH37" i="7"/>
  <c r="DI36" i="7"/>
  <c r="DJ35" i="7"/>
  <c r="DK34" i="7"/>
  <c r="DL33" i="7"/>
  <c r="DM32" i="7"/>
  <c r="DN31" i="7"/>
  <c r="BA97" i="7"/>
  <c r="BB96" i="7"/>
  <c r="BC95" i="7"/>
  <c r="BD94" i="7"/>
  <c r="BE93" i="7"/>
  <c r="BF92" i="7"/>
  <c r="BG91" i="7"/>
  <c r="BH90" i="7"/>
  <c r="BI89" i="7"/>
  <c r="BJ88" i="7"/>
  <c r="BK87" i="7"/>
  <c r="BL86" i="7"/>
  <c r="BM85" i="7"/>
  <c r="BN84" i="7"/>
  <c r="BO83" i="7"/>
  <c r="BP82" i="7"/>
  <c r="BQ81" i="7"/>
  <c r="BR80" i="7"/>
  <c r="BS79" i="7"/>
  <c r="BT78" i="7"/>
  <c r="BU77" i="7"/>
  <c r="BV76" i="7"/>
  <c r="BW75" i="7"/>
  <c r="BX74" i="7"/>
  <c r="BY73" i="7"/>
  <c r="BZ72" i="7"/>
  <c r="CA71" i="7"/>
  <c r="CB70" i="7"/>
  <c r="CC69" i="7"/>
  <c r="CD68" i="7"/>
  <c r="CE67" i="7"/>
  <c r="CF66" i="7"/>
  <c r="CG65" i="7"/>
  <c r="CH64" i="7"/>
  <c r="CI63" i="7"/>
  <c r="CJ62" i="7"/>
  <c r="CK61" i="7"/>
  <c r="CL60" i="7"/>
  <c r="CM59" i="7"/>
  <c r="CN58" i="7"/>
  <c r="CO57" i="7"/>
  <c r="CP56" i="7"/>
  <c r="CQ55" i="7"/>
  <c r="CR54" i="7"/>
  <c r="CS53" i="7"/>
  <c r="CT52" i="7"/>
  <c r="CU51" i="7"/>
  <c r="CV50" i="7"/>
  <c r="CW49" i="7"/>
  <c r="CX48" i="7"/>
  <c r="CY47" i="7"/>
  <c r="CZ46" i="7"/>
  <c r="DA45" i="7"/>
  <c r="DB44" i="7"/>
  <c r="DC43" i="7"/>
  <c r="DD42" i="7"/>
  <c r="DE41" i="7"/>
  <c r="DF40" i="7"/>
  <c r="DG39" i="7"/>
  <c r="DH38" i="7"/>
  <c r="DI37" i="7"/>
  <c r="DJ36" i="7"/>
  <c r="DK35" i="7"/>
  <c r="DL34" i="7"/>
  <c r="DM33" i="7"/>
  <c r="DN32" i="7"/>
  <c r="BB97" i="7"/>
  <c r="BC96" i="7"/>
  <c r="BD95" i="7"/>
  <c r="BE94" i="7"/>
  <c r="BF93" i="7"/>
  <c r="BG92" i="7"/>
  <c r="BH91" i="7"/>
  <c r="BI90" i="7"/>
  <c r="BJ89" i="7"/>
  <c r="BK88" i="7"/>
  <c r="BL87" i="7"/>
  <c r="BM86" i="7"/>
  <c r="BN85" i="7"/>
  <c r="BO84" i="7"/>
  <c r="BP83" i="7"/>
  <c r="BQ82" i="7"/>
  <c r="BR81" i="7"/>
  <c r="BS80" i="7"/>
  <c r="BT79" i="7"/>
  <c r="BU78" i="7"/>
  <c r="BV77" i="7"/>
  <c r="BW76" i="7"/>
  <c r="BX75" i="7"/>
  <c r="BY74" i="7"/>
  <c r="BZ73" i="7"/>
  <c r="CA72" i="7"/>
  <c r="CB71" i="7"/>
  <c r="CC70" i="7"/>
  <c r="CD69" i="7"/>
  <c r="CE68" i="7"/>
  <c r="CF67" i="7"/>
  <c r="CG66" i="7"/>
  <c r="CH65" i="7"/>
  <c r="CI64" i="7"/>
  <c r="CJ63" i="7"/>
  <c r="CK62" i="7"/>
  <c r="CL61" i="7"/>
  <c r="CM60" i="7"/>
  <c r="CN59" i="7"/>
  <c r="CO58" i="7"/>
  <c r="CP57" i="7"/>
  <c r="CQ56" i="7"/>
  <c r="CR55" i="7"/>
  <c r="CS54" i="7"/>
  <c r="CT53" i="7"/>
  <c r="CU52" i="7"/>
  <c r="CV51" i="7"/>
  <c r="CW50" i="7"/>
  <c r="CX49" i="7"/>
  <c r="CY48" i="7"/>
  <c r="CZ47" i="7"/>
  <c r="DA46" i="7"/>
  <c r="DB45" i="7"/>
  <c r="DC44" i="7"/>
  <c r="DD43" i="7"/>
  <c r="DE42" i="7"/>
  <c r="DF41" i="7"/>
  <c r="DG40" i="7"/>
  <c r="DH39" i="7"/>
  <c r="DI38" i="7"/>
  <c r="DJ37" i="7"/>
  <c r="DK36" i="7"/>
  <c r="DL35" i="7"/>
  <c r="DM34" i="7"/>
  <c r="DN33" i="7"/>
  <c r="BC97" i="7"/>
  <c r="BD96" i="7"/>
  <c r="BE95" i="7"/>
  <c r="BF94" i="7"/>
  <c r="BG93" i="7"/>
  <c r="BH92" i="7"/>
  <c r="BI91" i="7"/>
  <c r="BJ90" i="7"/>
  <c r="BK89" i="7"/>
  <c r="BL88" i="7"/>
  <c r="BM87" i="7"/>
  <c r="BN86" i="7"/>
  <c r="BO85" i="7"/>
  <c r="BP84" i="7"/>
  <c r="BQ83" i="7"/>
  <c r="BR82" i="7"/>
  <c r="BS81" i="7"/>
  <c r="BT80" i="7"/>
  <c r="BU79" i="7"/>
  <c r="BV78" i="7"/>
  <c r="BW77" i="7"/>
  <c r="BX76" i="7"/>
  <c r="BY75" i="7"/>
  <c r="BZ74" i="7"/>
  <c r="CA73" i="7"/>
  <c r="CB72" i="7"/>
  <c r="CC71" i="7"/>
  <c r="CD70" i="7"/>
  <c r="CE69" i="7"/>
  <c r="CF68" i="7"/>
  <c r="CG67" i="7"/>
  <c r="CH66" i="7"/>
  <c r="CI65" i="7"/>
  <c r="CJ64" i="7"/>
  <c r="CK63" i="7"/>
  <c r="CL62" i="7"/>
  <c r="CM61" i="7"/>
  <c r="CN60" i="7"/>
  <c r="CO59" i="7"/>
  <c r="CP58" i="7"/>
  <c r="CQ57" i="7"/>
  <c r="CR56" i="7"/>
  <c r="CS55" i="7"/>
  <c r="CT54" i="7"/>
  <c r="CU53" i="7"/>
  <c r="CV52" i="7"/>
  <c r="CW51" i="7"/>
  <c r="CX50" i="7"/>
  <c r="CY49" i="7"/>
  <c r="CZ48" i="7"/>
  <c r="DA47" i="7"/>
  <c r="DB46" i="7"/>
  <c r="DC45" i="7"/>
  <c r="DD44" i="7"/>
  <c r="DE43" i="7"/>
  <c r="DF42" i="7"/>
  <c r="DG41" i="7"/>
  <c r="DH40" i="7"/>
  <c r="DI39" i="7"/>
  <c r="DJ38" i="7"/>
  <c r="DK37" i="7"/>
  <c r="DL36" i="7"/>
  <c r="DM35" i="7"/>
  <c r="DN34" i="7"/>
  <c r="BD97" i="7"/>
  <c r="BE96" i="7"/>
  <c r="BF95" i="7"/>
  <c r="BG94" i="7"/>
  <c r="BH93" i="7"/>
  <c r="BI92" i="7"/>
  <c r="BJ91" i="7"/>
  <c r="BK90" i="7"/>
  <c r="BL89" i="7"/>
  <c r="BM88" i="7"/>
  <c r="BN87" i="7"/>
  <c r="BO86" i="7"/>
  <c r="BP85" i="7"/>
  <c r="BQ84" i="7"/>
  <c r="BR83" i="7"/>
  <c r="BS82" i="7"/>
  <c r="BT81" i="7"/>
  <c r="BU80" i="7"/>
  <c r="BV79" i="7"/>
  <c r="BW78" i="7"/>
  <c r="BX77" i="7"/>
  <c r="BY76" i="7"/>
  <c r="BZ75" i="7"/>
  <c r="CA74" i="7"/>
  <c r="CB73" i="7"/>
  <c r="CC72" i="7"/>
  <c r="CD71" i="7"/>
  <c r="CE70" i="7"/>
  <c r="CF69" i="7"/>
  <c r="CG68" i="7"/>
  <c r="CH67" i="7"/>
  <c r="CI66" i="7"/>
  <c r="CJ65" i="7"/>
  <c r="CK64" i="7"/>
  <c r="CL63" i="7"/>
  <c r="CM62" i="7"/>
  <c r="CN61" i="7"/>
  <c r="CO60" i="7"/>
  <c r="CP59" i="7"/>
  <c r="CQ58" i="7"/>
  <c r="CR57" i="7"/>
  <c r="CS56" i="7"/>
  <c r="CT55" i="7"/>
  <c r="CU54" i="7"/>
  <c r="CV53" i="7"/>
  <c r="CW52" i="7"/>
  <c r="CX51" i="7"/>
  <c r="CY50" i="7"/>
  <c r="CZ49" i="7"/>
  <c r="DA48" i="7"/>
  <c r="DB47" i="7"/>
  <c r="DC46" i="7"/>
  <c r="DD45" i="7"/>
  <c r="DE44" i="7"/>
  <c r="DF43" i="7"/>
  <c r="DG42" i="7"/>
  <c r="DH41" i="7"/>
  <c r="DI40" i="7"/>
  <c r="DJ39" i="7"/>
  <c r="DK38" i="7"/>
  <c r="DL37" i="7"/>
  <c r="DM36" i="7"/>
  <c r="DN35" i="7"/>
  <c r="BE97" i="7"/>
  <c r="BF96" i="7"/>
  <c r="BG95" i="7"/>
  <c r="BH94" i="7"/>
  <c r="BI93" i="7"/>
  <c r="BJ92" i="7"/>
  <c r="BK91" i="7"/>
  <c r="BL90" i="7"/>
  <c r="BM89" i="7"/>
  <c r="BN88" i="7"/>
  <c r="BO87" i="7"/>
  <c r="BP86" i="7"/>
  <c r="BQ85" i="7"/>
  <c r="BR84" i="7"/>
  <c r="BS83" i="7"/>
  <c r="BT82" i="7"/>
  <c r="BU81" i="7"/>
  <c r="BV80" i="7"/>
  <c r="BW79" i="7"/>
  <c r="BX78" i="7"/>
  <c r="BY77" i="7"/>
  <c r="BZ76" i="7"/>
  <c r="CA75" i="7"/>
  <c r="CB74" i="7"/>
  <c r="CC73" i="7"/>
  <c r="CD72" i="7"/>
  <c r="CE71" i="7"/>
  <c r="CF70" i="7"/>
  <c r="CG69" i="7"/>
  <c r="CH68" i="7"/>
  <c r="CI67" i="7"/>
  <c r="CJ66" i="7"/>
  <c r="CK65" i="7"/>
  <c r="CL64" i="7"/>
  <c r="CM63" i="7"/>
  <c r="CN62" i="7"/>
  <c r="CO61" i="7"/>
  <c r="CP60" i="7"/>
  <c r="CQ59" i="7"/>
  <c r="CR58" i="7"/>
  <c r="CS57" i="7"/>
  <c r="CT56" i="7"/>
  <c r="CU55" i="7"/>
  <c r="CV54" i="7"/>
  <c r="CW53" i="7"/>
  <c r="CX52" i="7"/>
  <c r="CY51" i="7"/>
  <c r="CZ50" i="7"/>
  <c r="DA49" i="7"/>
  <c r="DB48" i="7"/>
  <c r="DC47" i="7"/>
  <c r="DD46" i="7"/>
  <c r="DE45" i="7"/>
  <c r="DF44" i="7"/>
  <c r="DG43" i="7"/>
  <c r="DH42" i="7"/>
  <c r="DI41" i="7"/>
  <c r="DJ40" i="7"/>
  <c r="DK39" i="7"/>
  <c r="DL38" i="7"/>
  <c r="DM37" i="7"/>
  <c r="DN36" i="7"/>
  <c r="BF97" i="7"/>
  <c r="BG96" i="7"/>
  <c r="BH95" i="7"/>
  <c r="BI94" i="7"/>
  <c r="BJ93" i="7"/>
  <c r="BK92" i="7"/>
  <c r="BL91" i="7"/>
  <c r="BM90" i="7"/>
  <c r="BN89" i="7"/>
  <c r="BO88" i="7"/>
  <c r="BP87" i="7"/>
  <c r="BQ86" i="7"/>
  <c r="BR85" i="7"/>
  <c r="BS84" i="7"/>
  <c r="BT83" i="7"/>
  <c r="BU82" i="7"/>
  <c r="BV81" i="7"/>
  <c r="BW80" i="7"/>
  <c r="BX79" i="7"/>
  <c r="BY78" i="7"/>
  <c r="BZ77" i="7"/>
  <c r="CA76" i="7"/>
  <c r="CB75" i="7"/>
  <c r="CC74" i="7"/>
  <c r="CD73" i="7"/>
  <c r="CE72" i="7"/>
  <c r="CF71" i="7"/>
  <c r="CG70" i="7"/>
  <c r="CH69" i="7"/>
  <c r="CI68" i="7"/>
  <c r="CJ67" i="7"/>
  <c r="CK66" i="7"/>
  <c r="CL65" i="7"/>
  <c r="CM64" i="7"/>
  <c r="CN63" i="7"/>
  <c r="CO62" i="7"/>
  <c r="CP61" i="7"/>
  <c r="CQ60" i="7"/>
  <c r="CR59" i="7"/>
  <c r="CS58" i="7"/>
  <c r="CT57" i="7"/>
  <c r="CU56" i="7"/>
  <c r="CV55" i="7"/>
  <c r="CW54" i="7"/>
  <c r="CX53" i="7"/>
  <c r="CY52" i="7"/>
  <c r="CZ51" i="7"/>
  <c r="DA50" i="7"/>
  <c r="DB49" i="7"/>
  <c r="DC48" i="7"/>
  <c r="DD47" i="7"/>
  <c r="DE46" i="7"/>
  <c r="DF45" i="7"/>
  <c r="DG44" i="7"/>
  <c r="DH43" i="7"/>
  <c r="DI42" i="7"/>
  <c r="DJ41" i="7"/>
  <c r="DK40" i="7"/>
  <c r="DL39" i="7"/>
  <c r="DM38" i="7"/>
  <c r="DN37" i="7"/>
  <c r="BG97" i="7"/>
  <c r="BH96" i="7"/>
  <c r="BI95" i="7"/>
  <c r="BJ94" i="7"/>
  <c r="BK93" i="7"/>
  <c r="BL92" i="7"/>
  <c r="BM91" i="7"/>
  <c r="BN90" i="7"/>
  <c r="BO89" i="7"/>
  <c r="BP88" i="7"/>
  <c r="BQ87" i="7"/>
  <c r="BR86" i="7"/>
  <c r="BS85" i="7"/>
  <c r="BT84" i="7"/>
  <c r="BU83" i="7"/>
  <c r="BV82" i="7"/>
  <c r="BW81" i="7"/>
  <c r="BX80" i="7"/>
  <c r="BY79" i="7"/>
  <c r="BZ78" i="7"/>
  <c r="CA77" i="7"/>
  <c r="CB76" i="7"/>
  <c r="CC75" i="7"/>
  <c r="CD74" i="7"/>
  <c r="CE73" i="7"/>
  <c r="CF72" i="7"/>
  <c r="CG71" i="7"/>
  <c r="CH70" i="7"/>
  <c r="CI69" i="7"/>
  <c r="CJ68" i="7"/>
  <c r="CK67" i="7"/>
  <c r="CL66" i="7"/>
  <c r="CM65" i="7"/>
  <c r="CN64" i="7"/>
  <c r="CO63" i="7"/>
  <c r="CP62" i="7"/>
  <c r="CQ61" i="7"/>
  <c r="CR60" i="7"/>
  <c r="CS59" i="7"/>
  <c r="CT58" i="7"/>
  <c r="CU57" i="7"/>
  <c r="CV56" i="7"/>
  <c r="CW55" i="7"/>
  <c r="CX54" i="7"/>
  <c r="CY53" i="7"/>
  <c r="CZ52" i="7"/>
  <c r="DA51" i="7"/>
  <c r="DB50" i="7"/>
  <c r="DC49" i="7"/>
  <c r="DD48" i="7"/>
  <c r="DE47" i="7"/>
  <c r="DF46" i="7"/>
  <c r="DG45" i="7"/>
  <c r="DH44" i="7"/>
  <c r="DI43" i="7"/>
  <c r="DJ42" i="7"/>
  <c r="DK41" i="7"/>
  <c r="DL40" i="7"/>
  <c r="DM39" i="7"/>
  <c r="DN38" i="7"/>
  <c r="BH97" i="7"/>
  <c r="BI96" i="7"/>
  <c r="BJ95" i="7"/>
  <c r="BK94" i="7"/>
  <c r="BL93" i="7"/>
  <c r="BM92" i="7"/>
  <c r="BN91" i="7"/>
  <c r="BO90" i="7"/>
  <c r="BP89" i="7"/>
  <c r="BQ88" i="7"/>
  <c r="BR87" i="7"/>
  <c r="BS86" i="7"/>
  <c r="BT85" i="7"/>
  <c r="BU84" i="7"/>
  <c r="BV83" i="7"/>
  <c r="BW82" i="7"/>
  <c r="BX81" i="7"/>
  <c r="BY80" i="7"/>
  <c r="BZ79" i="7"/>
  <c r="CA78" i="7"/>
  <c r="CB77" i="7"/>
  <c r="CC76" i="7"/>
  <c r="CD75" i="7"/>
  <c r="CE74" i="7"/>
  <c r="CF73" i="7"/>
  <c r="CG72" i="7"/>
  <c r="CH71" i="7"/>
  <c r="CI70" i="7"/>
  <c r="CJ69" i="7"/>
  <c r="CK68" i="7"/>
  <c r="CL67" i="7"/>
  <c r="CM66" i="7"/>
  <c r="CN65" i="7"/>
  <c r="CO64" i="7"/>
  <c r="CP63" i="7"/>
  <c r="CQ62" i="7"/>
  <c r="CR61" i="7"/>
  <c r="CS60" i="7"/>
  <c r="CT59" i="7"/>
  <c r="CU58" i="7"/>
  <c r="CV57" i="7"/>
  <c r="CW56" i="7"/>
  <c r="CX55" i="7"/>
  <c r="CY54" i="7"/>
  <c r="CZ53" i="7"/>
  <c r="DA52" i="7"/>
  <c r="DB51" i="7"/>
  <c r="DC50" i="7"/>
  <c r="DD49" i="7"/>
  <c r="DE48" i="7"/>
  <c r="DF47" i="7"/>
  <c r="DG46" i="7"/>
  <c r="DH45" i="7"/>
  <c r="DI44" i="7"/>
  <c r="DJ43" i="7"/>
  <c r="DK42" i="7"/>
  <c r="DL41" i="7"/>
  <c r="DM40" i="7"/>
  <c r="DN39" i="7"/>
  <c r="BI97" i="7"/>
  <c r="BJ96" i="7"/>
  <c r="BK95" i="7"/>
  <c r="BL94" i="7"/>
  <c r="BM93" i="7"/>
  <c r="BN92" i="7"/>
  <c r="BO91" i="7"/>
  <c r="BP90" i="7"/>
  <c r="BQ89" i="7"/>
  <c r="BR88" i="7"/>
  <c r="BS87" i="7"/>
  <c r="BT86" i="7"/>
  <c r="BU85" i="7"/>
  <c r="BV84" i="7"/>
  <c r="BW83" i="7"/>
  <c r="BX82" i="7"/>
  <c r="BY81" i="7"/>
  <c r="BZ80" i="7"/>
  <c r="CA79" i="7"/>
  <c r="CB78" i="7"/>
  <c r="CC77" i="7"/>
  <c r="CD76" i="7"/>
  <c r="CE75" i="7"/>
  <c r="CF74" i="7"/>
  <c r="CG73" i="7"/>
  <c r="CH72" i="7"/>
  <c r="CI71" i="7"/>
  <c r="CJ70" i="7"/>
  <c r="CK69" i="7"/>
  <c r="CL68" i="7"/>
  <c r="CM67" i="7"/>
  <c r="CN66" i="7"/>
  <c r="CO65" i="7"/>
  <c r="CP64" i="7"/>
  <c r="CQ63" i="7"/>
  <c r="CR62" i="7"/>
  <c r="CS61" i="7"/>
  <c r="CT60" i="7"/>
  <c r="CU59" i="7"/>
  <c r="CV58" i="7"/>
  <c r="CW57" i="7"/>
  <c r="CX56" i="7"/>
  <c r="CY55" i="7"/>
  <c r="CZ54" i="7"/>
  <c r="DA53" i="7"/>
  <c r="DB52" i="7"/>
  <c r="DC51" i="7"/>
  <c r="DD50" i="7"/>
  <c r="DE49" i="7"/>
  <c r="DF48" i="7"/>
  <c r="DG47" i="7"/>
  <c r="DH46" i="7"/>
  <c r="DI45" i="7"/>
  <c r="DJ44" i="7"/>
  <c r="DK43" i="7"/>
  <c r="DL42" i="7"/>
  <c r="DM41" i="7"/>
  <c r="DN40" i="7"/>
  <c r="BJ97" i="7"/>
  <c r="BK96" i="7"/>
  <c r="BL95" i="7"/>
  <c r="BM94" i="7"/>
  <c r="BN93" i="7"/>
  <c r="BO92" i="7"/>
  <c r="BP91" i="7"/>
  <c r="BQ90" i="7"/>
  <c r="BR89" i="7"/>
  <c r="BS88" i="7"/>
  <c r="BT87" i="7"/>
  <c r="BU86" i="7"/>
  <c r="BV85" i="7"/>
  <c r="BW84" i="7"/>
  <c r="BX83" i="7"/>
  <c r="BY82" i="7"/>
  <c r="BZ81" i="7"/>
  <c r="CA80" i="7"/>
  <c r="CB79" i="7"/>
  <c r="CC78" i="7"/>
  <c r="CD77" i="7"/>
  <c r="CE76" i="7"/>
  <c r="CF75" i="7"/>
  <c r="CG74" i="7"/>
  <c r="CH73" i="7"/>
  <c r="CI72" i="7"/>
  <c r="CJ71" i="7"/>
  <c r="CK70" i="7"/>
  <c r="CL69" i="7"/>
  <c r="CM68" i="7"/>
  <c r="CN67" i="7"/>
  <c r="CO66" i="7"/>
  <c r="CP65" i="7"/>
  <c r="CQ64" i="7"/>
  <c r="CR63" i="7"/>
  <c r="CS62" i="7"/>
  <c r="CT61" i="7"/>
  <c r="CU60" i="7"/>
  <c r="CV59" i="7"/>
  <c r="CW58" i="7"/>
  <c r="CX57" i="7"/>
  <c r="CY56" i="7"/>
  <c r="CZ55" i="7"/>
  <c r="DA54" i="7"/>
  <c r="DB53" i="7"/>
  <c r="DC52" i="7"/>
  <c r="DD51" i="7"/>
  <c r="DE50" i="7"/>
  <c r="DF49" i="7"/>
  <c r="DG48" i="7"/>
  <c r="DH47" i="7"/>
  <c r="DI46" i="7"/>
  <c r="DJ45" i="7"/>
  <c r="DK44" i="7"/>
  <c r="DL43" i="7"/>
  <c r="DM42" i="7"/>
  <c r="DN41" i="7"/>
  <c r="BK97" i="7"/>
  <c r="BL96" i="7"/>
  <c r="BM95" i="7"/>
  <c r="BN94" i="7"/>
  <c r="BO93" i="7"/>
  <c r="BP92" i="7"/>
  <c r="BQ91" i="7"/>
  <c r="BR90" i="7"/>
  <c r="BS89" i="7"/>
  <c r="BT88" i="7"/>
  <c r="BU87" i="7"/>
  <c r="BV86" i="7"/>
  <c r="BW85" i="7"/>
  <c r="BX84" i="7"/>
  <c r="BY83" i="7"/>
  <c r="BZ82" i="7"/>
  <c r="CA81" i="7"/>
  <c r="CB80" i="7"/>
  <c r="CC79" i="7"/>
  <c r="CD78" i="7"/>
  <c r="CE77" i="7"/>
  <c r="CF76" i="7"/>
  <c r="CG75" i="7"/>
  <c r="CH74" i="7"/>
  <c r="CI73" i="7"/>
  <c r="CJ72" i="7"/>
  <c r="CK71" i="7"/>
  <c r="CL70" i="7"/>
  <c r="CM69" i="7"/>
  <c r="CN68" i="7"/>
  <c r="CO67" i="7"/>
  <c r="CP66" i="7"/>
  <c r="CQ65" i="7"/>
  <c r="CR64" i="7"/>
  <c r="CS63" i="7"/>
  <c r="CT62" i="7"/>
  <c r="CU61" i="7"/>
  <c r="CV60" i="7"/>
  <c r="CW59" i="7"/>
  <c r="CX58" i="7"/>
  <c r="CY57" i="7"/>
  <c r="CZ56" i="7"/>
  <c r="DA55" i="7"/>
  <c r="DB54" i="7"/>
  <c r="DC53" i="7"/>
  <c r="DD52" i="7"/>
  <c r="DE51" i="7"/>
  <c r="DF50" i="7"/>
  <c r="DG49" i="7"/>
  <c r="DH48" i="7"/>
  <c r="DI47" i="7"/>
  <c r="DJ46" i="7"/>
  <c r="DK45" i="7"/>
  <c r="DL44" i="7"/>
  <c r="DM43" i="7"/>
  <c r="DN42" i="7"/>
  <c r="BL97" i="7"/>
  <c r="BM96" i="7"/>
  <c r="BN95" i="7"/>
  <c r="BO94" i="7"/>
  <c r="BP93" i="7"/>
  <c r="BQ92" i="7"/>
  <c r="BR91" i="7"/>
  <c r="BS90" i="7"/>
  <c r="BT89" i="7"/>
  <c r="BU88" i="7"/>
  <c r="BV87" i="7"/>
  <c r="BW86" i="7"/>
  <c r="BX85" i="7"/>
  <c r="BY84" i="7"/>
  <c r="BZ83" i="7"/>
  <c r="CA82" i="7"/>
  <c r="CB81" i="7"/>
  <c r="CC80" i="7"/>
  <c r="CD79" i="7"/>
  <c r="CE78" i="7"/>
  <c r="CF77" i="7"/>
  <c r="CG76" i="7"/>
  <c r="CH75" i="7"/>
  <c r="CI74" i="7"/>
  <c r="CJ73" i="7"/>
  <c r="CK72" i="7"/>
  <c r="CL71" i="7"/>
  <c r="CM70" i="7"/>
  <c r="CN69" i="7"/>
  <c r="CO68" i="7"/>
  <c r="CP67" i="7"/>
  <c r="CQ66" i="7"/>
  <c r="CR65" i="7"/>
  <c r="CS64" i="7"/>
  <c r="CT63" i="7"/>
  <c r="CU62" i="7"/>
  <c r="CV61" i="7"/>
  <c r="CW60" i="7"/>
  <c r="CX59" i="7"/>
  <c r="CY58" i="7"/>
  <c r="CZ57" i="7"/>
  <c r="DA56" i="7"/>
  <c r="DB55" i="7"/>
  <c r="DC54" i="7"/>
  <c r="DD53" i="7"/>
  <c r="DE52" i="7"/>
  <c r="DF51" i="7"/>
  <c r="DG50" i="7"/>
  <c r="DH49" i="7"/>
  <c r="DI48" i="7"/>
  <c r="DJ47" i="7"/>
  <c r="DK46" i="7"/>
  <c r="DL45" i="7"/>
  <c r="DM44" i="7"/>
  <c r="DN43" i="7"/>
  <c r="BM97" i="7"/>
  <c r="BN96" i="7"/>
  <c r="BO95" i="7"/>
  <c r="BP94" i="7"/>
  <c r="BQ93" i="7"/>
  <c r="BR92" i="7"/>
  <c r="BS91" i="7"/>
  <c r="BT90" i="7"/>
  <c r="BU89" i="7"/>
  <c r="BV88" i="7"/>
  <c r="BW87" i="7"/>
  <c r="BX86" i="7"/>
  <c r="BY85" i="7"/>
  <c r="BZ84" i="7"/>
  <c r="CA83" i="7"/>
  <c r="CB82" i="7"/>
  <c r="CC81" i="7"/>
  <c r="CD80" i="7"/>
  <c r="CE79" i="7"/>
  <c r="CF78" i="7"/>
  <c r="CG77" i="7"/>
  <c r="CH76" i="7"/>
  <c r="CI75" i="7"/>
  <c r="CJ74" i="7"/>
  <c r="CK73" i="7"/>
  <c r="CL72" i="7"/>
  <c r="CM71" i="7"/>
  <c r="CN70" i="7"/>
  <c r="CO69" i="7"/>
  <c r="CP68" i="7"/>
  <c r="CQ67" i="7"/>
  <c r="CR66" i="7"/>
  <c r="CS65" i="7"/>
  <c r="CT64" i="7"/>
  <c r="CU63" i="7"/>
  <c r="CV62" i="7"/>
  <c r="CW61" i="7"/>
  <c r="CX60" i="7"/>
  <c r="CY59" i="7"/>
  <c r="CZ58" i="7"/>
  <c r="DA57" i="7"/>
  <c r="DB56" i="7"/>
  <c r="DC55" i="7"/>
  <c r="DD54" i="7"/>
  <c r="DE53" i="7"/>
  <c r="DF52" i="7"/>
  <c r="DG51" i="7"/>
  <c r="DH50" i="7"/>
  <c r="DI49" i="7"/>
  <c r="DJ48" i="7"/>
  <c r="DK47" i="7"/>
  <c r="DL46" i="7"/>
  <c r="DM45" i="7"/>
  <c r="DN44" i="7"/>
  <c r="BN97" i="7"/>
  <c r="BO96" i="7"/>
  <c r="BP95" i="7"/>
  <c r="BQ94" i="7"/>
  <c r="BR93" i="7"/>
  <c r="BS92" i="7"/>
  <c r="BT91" i="7"/>
  <c r="BU90" i="7"/>
  <c r="BV89" i="7"/>
  <c r="BW88" i="7"/>
  <c r="BX87" i="7"/>
  <c r="BY86" i="7"/>
  <c r="BZ85" i="7"/>
  <c r="CA84" i="7"/>
  <c r="CB83" i="7"/>
  <c r="CC82" i="7"/>
  <c r="CD81" i="7"/>
  <c r="CE80" i="7"/>
  <c r="CF79" i="7"/>
  <c r="CG78" i="7"/>
  <c r="CH77" i="7"/>
  <c r="CI76" i="7"/>
  <c r="CJ75" i="7"/>
  <c r="CK74" i="7"/>
  <c r="CL73" i="7"/>
  <c r="CM72" i="7"/>
  <c r="CN71" i="7"/>
  <c r="CO70" i="7"/>
  <c r="CP69" i="7"/>
  <c r="CQ68" i="7"/>
  <c r="CR67" i="7"/>
  <c r="CS66" i="7"/>
  <c r="CT65" i="7"/>
  <c r="CU64" i="7"/>
  <c r="CV63" i="7"/>
  <c r="CW62" i="7"/>
  <c r="CX61" i="7"/>
  <c r="CY60" i="7"/>
  <c r="CZ59" i="7"/>
  <c r="DA58" i="7"/>
  <c r="DB57" i="7"/>
  <c r="DC56" i="7"/>
  <c r="DD55" i="7"/>
  <c r="DE54" i="7"/>
  <c r="DF53" i="7"/>
  <c r="DG52" i="7"/>
  <c r="DH51" i="7"/>
  <c r="DI50" i="7"/>
  <c r="DJ49" i="7"/>
  <c r="DK48" i="7"/>
  <c r="DL47" i="7"/>
  <c r="DM46" i="7"/>
  <c r="DN45" i="7"/>
  <c r="BO97" i="7"/>
  <c r="BP96" i="7"/>
  <c r="BQ95" i="7"/>
  <c r="BR94" i="7"/>
  <c r="BS93" i="7"/>
  <c r="BT92" i="7"/>
  <c r="BU91" i="7"/>
  <c r="BV90" i="7"/>
  <c r="BW89" i="7"/>
  <c r="BX88" i="7"/>
  <c r="BY87" i="7"/>
  <c r="BZ86" i="7"/>
  <c r="CA85" i="7"/>
  <c r="CB84" i="7"/>
  <c r="CC83" i="7"/>
  <c r="CD82" i="7"/>
  <c r="CE81" i="7"/>
  <c r="CF80" i="7"/>
  <c r="CG79" i="7"/>
  <c r="CH78" i="7"/>
  <c r="CI77" i="7"/>
  <c r="CJ76" i="7"/>
  <c r="CK75" i="7"/>
  <c r="CL74" i="7"/>
  <c r="CM73" i="7"/>
  <c r="CN72" i="7"/>
  <c r="CO71" i="7"/>
  <c r="CP70" i="7"/>
  <c r="CQ69" i="7"/>
  <c r="CR68" i="7"/>
  <c r="CS67" i="7"/>
  <c r="CT66" i="7"/>
  <c r="CU65" i="7"/>
  <c r="CV64" i="7"/>
  <c r="CW63" i="7"/>
  <c r="CX62" i="7"/>
  <c r="CY61" i="7"/>
  <c r="CZ60" i="7"/>
  <c r="DA59" i="7"/>
  <c r="DB58" i="7"/>
  <c r="DC57" i="7"/>
  <c r="DD56" i="7"/>
  <c r="DE55" i="7"/>
  <c r="DF54" i="7"/>
  <c r="DG53" i="7"/>
  <c r="DH52" i="7"/>
  <c r="DI51" i="7"/>
  <c r="DJ50" i="7"/>
  <c r="DK49" i="7"/>
  <c r="DL48" i="7"/>
  <c r="DM47" i="7"/>
  <c r="DN46" i="7"/>
  <c r="BP97" i="7"/>
  <c r="BQ96" i="7"/>
  <c r="BR95" i="7"/>
  <c r="BS94" i="7"/>
  <c r="BT93" i="7"/>
  <c r="BU92" i="7"/>
  <c r="BV91" i="7"/>
  <c r="BW90" i="7"/>
  <c r="BX89" i="7"/>
  <c r="BY88" i="7"/>
  <c r="BZ87" i="7"/>
  <c r="CA86" i="7"/>
  <c r="CB85" i="7"/>
  <c r="CC84" i="7"/>
  <c r="CD83" i="7"/>
  <c r="CE82" i="7"/>
  <c r="CF81" i="7"/>
  <c r="CG80" i="7"/>
  <c r="CH79" i="7"/>
  <c r="CI78" i="7"/>
  <c r="CJ77" i="7"/>
  <c r="CK76" i="7"/>
  <c r="CL75" i="7"/>
  <c r="CM74" i="7"/>
  <c r="CN73" i="7"/>
  <c r="CO72" i="7"/>
  <c r="CP71" i="7"/>
  <c r="CQ70" i="7"/>
  <c r="CR69" i="7"/>
  <c r="CS68" i="7"/>
  <c r="CT67" i="7"/>
  <c r="CU66" i="7"/>
  <c r="CV65" i="7"/>
  <c r="CW64" i="7"/>
  <c r="CX63" i="7"/>
  <c r="CY62" i="7"/>
  <c r="CZ61" i="7"/>
  <c r="DA60" i="7"/>
  <c r="DB59" i="7"/>
  <c r="DC58" i="7"/>
  <c r="DD57" i="7"/>
  <c r="DE56" i="7"/>
  <c r="DF55" i="7"/>
  <c r="DG54" i="7"/>
  <c r="DH53" i="7"/>
  <c r="DI52" i="7"/>
  <c r="DJ51" i="7"/>
  <c r="DK50" i="7"/>
  <c r="DL49" i="7"/>
  <c r="DM48" i="7"/>
  <c r="DN47" i="7"/>
  <c r="BQ97" i="7"/>
  <c r="BR96" i="7"/>
  <c r="BS95" i="7"/>
  <c r="BT94" i="7"/>
  <c r="BU93" i="7"/>
  <c r="BV92" i="7"/>
  <c r="BW91" i="7"/>
  <c r="BX90" i="7"/>
  <c r="BY89" i="7"/>
  <c r="BZ88" i="7"/>
  <c r="CA87" i="7"/>
  <c r="CB86" i="7"/>
  <c r="CC85" i="7"/>
  <c r="CD84" i="7"/>
  <c r="CE83" i="7"/>
  <c r="CF82" i="7"/>
  <c r="CG81" i="7"/>
  <c r="CH80" i="7"/>
  <c r="CI79" i="7"/>
  <c r="CJ78" i="7"/>
  <c r="CK77" i="7"/>
  <c r="CL76" i="7"/>
  <c r="CM75" i="7"/>
  <c r="CN74" i="7"/>
  <c r="CO73" i="7"/>
  <c r="CP72" i="7"/>
  <c r="CQ71" i="7"/>
  <c r="CR70" i="7"/>
  <c r="CS69" i="7"/>
  <c r="CT68" i="7"/>
  <c r="CU67" i="7"/>
  <c r="CV66" i="7"/>
  <c r="CW65" i="7"/>
  <c r="CX64" i="7"/>
  <c r="CY63" i="7"/>
  <c r="CZ62" i="7"/>
  <c r="DA61" i="7"/>
  <c r="DB60" i="7"/>
  <c r="DC59" i="7"/>
  <c r="DD58" i="7"/>
  <c r="DE57" i="7"/>
  <c r="DF56" i="7"/>
  <c r="DG55" i="7"/>
  <c r="DH54" i="7"/>
  <c r="DI53" i="7"/>
  <c r="DJ52" i="7"/>
  <c r="DK51" i="7"/>
  <c r="DL50" i="7"/>
  <c r="DM49" i="7"/>
  <c r="DN48" i="7"/>
  <c r="BR97" i="7"/>
  <c r="BS96" i="7"/>
  <c r="BT95" i="7"/>
  <c r="BU94" i="7"/>
  <c r="BV93" i="7"/>
  <c r="BW92" i="7"/>
  <c r="BX91" i="7"/>
  <c r="BY90" i="7"/>
  <c r="BZ89" i="7"/>
  <c r="CA88" i="7"/>
  <c r="CB87" i="7"/>
  <c r="CC86" i="7"/>
  <c r="CD85" i="7"/>
  <c r="CE84" i="7"/>
  <c r="CF83" i="7"/>
  <c r="CG82" i="7"/>
  <c r="CH81" i="7"/>
  <c r="CI80" i="7"/>
  <c r="CJ79" i="7"/>
  <c r="CK78" i="7"/>
  <c r="CL77" i="7"/>
  <c r="CM76" i="7"/>
  <c r="CN75" i="7"/>
  <c r="CO74" i="7"/>
  <c r="CP73" i="7"/>
  <c r="CQ72" i="7"/>
  <c r="CR71" i="7"/>
  <c r="CS70" i="7"/>
  <c r="CT69" i="7"/>
  <c r="CU68" i="7"/>
  <c r="CV67" i="7"/>
  <c r="CW66" i="7"/>
  <c r="CX65" i="7"/>
  <c r="CY64" i="7"/>
  <c r="CZ63" i="7"/>
  <c r="DA62" i="7"/>
  <c r="DB61" i="7"/>
  <c r="DC60" i="7"/>
  <c r="DD59" i="7"/>
  <c r="DE58" i="7"/>
  <c r="DF57" i="7"/>
  <c r="DG56" i="7"/>
  <c r="DH55" i="7"/>
  <c r="DI54" i="7"/>
  <c r="DJ53" i="7"/>
  <c r="DK52" i="7"/>
  <c r="DL51" i="7"/>
  <c r="DM50" i="7"/>
  <c r="DN49" i="7"/>
  <c r="BS97" i="7"/>
  <c r="BT96" i="7"/>
  <c r="BU95" i="7"/>
  <c r="BV94" i="7"/>
  <c r="BW93" i="7"/>
  <c r="BX92" i="7"/>
  <c r="BY91" i="7"/>
  <c r="BZ90" i="7"/>
  <c r="CA89" i="7"/>
  <c r="CB88" i="7"/>
  <c r="CC87" i="7"/>
  <c r="CD86" i="7"/>
  <c r="CE85" i="7"/>
  <c r="CF84" i="7"/>
  <c r="CG83" i="7"/>
  <c r="CH82" i="7"/>
  <c r="CI81" i="7"/>
  <c r="CJ80" i="7"/>
  <c r="CK79" i="7"/>
  <c r="CL78" i="7"/>
  <c r="CM77" i="7"/>
  <c r="CN76" i="7"/>
  <c r="CO75" i="7"/>
  <c r="CP74" i="7"/>
  <c r="CQ73" i="7"/>
  <c r="CR72" i="7"/>
  <c r="CS71" i="7"/>
  <c r="CT70" i="7"/>
  <c r="CU69" i="7"/>
  <c r="CV68" i="7"/>
  <c r="CW67" i="7"/>
  <c r="CX66" i="7"/>
  <c r="CY65" i="7"/>
  <c r="CZ64" i="7"/>
  <c r="DA63" i="7"/>
  <c r="DB62" i="7"/>
  <c r="DC61" i="7"/>
  <c r="DD60" i="7"/>
  <c r="DE59" i="7"/>
  <c r="DF58" i="7"/>
  <c r="DG57" i="7"/>
  <c r="DH56" i="7"/>
  <c r="DI55" i="7"/>
  <c r="DJ54" i="7"/>
  <c r="DK53" i="7"/>
  <c r="DL52" i="7"/>
  <c r="DM51" i="7"/>
  <c r="DN50" i="7"/>
  <c r="BT97" i="7"/>
  <c r="BU96" i="7"/>
  <c r="BV95" i="7"/>
  <c r="BW94" i="7"/>
  <c r="BX93" i="7"/>
  <c r="BY92" i="7"/>
  <c r="BZ91" i="7"/>
  <c r="CA90" i="7"/>
  <c r="CB89" i="7"/>
  <c r="CC88" i="7"/>
  <c r="CD87" i="7"/>
  <c r="CE86" i="7"/>
  <c r="CF85" i="7"/>
  <c r="CG84" i="7"/>
  <c r="CH83" i="7"/>
  <c r="CI82" i="7"/>
  <c r="CJ81" i="7"/>
  <c r="CK80" i="7"/>
  <c r="CL79" i="7"/>
  <c r="CM78" i="7"/>
  <c r="CN77" i="7"/>
  <c r="CO76" i="7"/>
  <c r="CP75" i="7"/>
  <c r="CQ74" i="7"/>
  <c r="CR73" i="7"/>
  <c r="CS72" i="7"/>
  <c r="CT71" i="7"/>
  <c r="CU70" i="7"/>
  <c r="CV69" i="7"/>
  <c r="CW68" i="7"/>
  <c r="CX67" i="7"/>
  <c r="CY66" i="7"/>
  <c r="CZ65" i="7"/>
  <c r="DA64" i="7"/>
  <c r="DB63" i="7"/>
  <c r="DC62" i="7"/>
  <c r="DD61" i="7"/>
  <c r="DE60" i="7"/>
  <c r="DF59" i="7"/>
  <c r="DG58" i="7"/>
  <c r="DH57" i="7"/>
  <c r="DI56" i="7"/>
  <c r="DJ55" i="7"/>
  <c r="DK54" i="7"/>
  <c r="DL53" i="7"/>
  <c r="DM52" i="7"/>
  <c r="DN51" i="7"/>
  <c r="BU97" i="7"/>
  <c r="BV96" i="7"/>
  <c r="BW95" i="7"/>
  <c r="BX94" i="7"/>
  <c r="BY93" i="7"/>
  <c r="BZ92" i="7"/>
  <c r="CA91" i="7"/>
  <c r="CB90" i="7"/>
  <c r="CC89" i="7"/>
  <c r="CD88" i="7"/>
  <c r="CE87" i="7"/>
  <c r="CF86" i="7"/>
  <c r="CG85" i="7"/>
  <c r="CH84" i="7"/>
  <c r="CI83" i="7"/>
  <c r="CJ82" i="7"/>
  <c r="CK81" i="7"/>
  <c r="CL80" i="7"/>
  <c r="CM79" i="7"/>
  <c r="CN78" i="7"/>
  <c r="CO77" i="7"/>
  <c r="CP76" i="7"/>
  <c r="CQ75" i="7"/>
  <c r="CR74" i="7"/>
  <c r="CS73" i="7"/>
  <c r="CT72" i="7"/>
  <c r="CU71" i="7"/>
  <c r="CV70" i="7"/>
  <c r="CW69" i="7"/>
  <c r="CX68" i="7"/>
  <c r="CY67" i="7"/>
  <c r="CZ66" i="7"/>
  <c r="DA65" i="7"/>
  <c r="DB64" i="7"/>
  <c r="DC63" i="7"/>
  <c r="DD62" i="7"/>
  <c r="DE61" i="7"/>
  <c r="DF60" i="7"/>
  <c r="DG59" i="7"/>
  <c r="DH58" i="7"/>
  <c r="DI57" i="7"/>
  <c r="DJ56" i="7"/>
  <c r="DK55" i="7"/>
  <c r="DL54" i="7"/>
  <c r="DM53" i="7"/>
  <c r="DN52" i="7"/>
  <c r="BV97" i="7"/>
  <c r="BW96" i="7"/>
  <c r="BX95" i="7"/>
  <c r="BY94" i="7"/>
  <c r="BZ93" i="7"/>
  <c r="CA92" i="7"/>
  <c r="CB91" i="7"/>
  <c r="CC90" i="7"/>
  <c r="CD89" i="7"/>
  <c r="CE88" i="7"/>
  <c r="CF87" i="7"/>
  <c r="CG86" i="7"/>
  <c r="CH85" i="7"/>
  <c r="CI84" i="7"/>
  <c r="CJ83" i="7"/>
  <c r="CK82" i="7"/>
  <c r="CL81" i="7"/>
  <c r="CM80" i="7"/>
  <c r="CN79" i="7"/>
  <c r="CO78" i="7"/>
  <c r="CP77" i="7"/>
  <c r="CQ76" i="7"/>
  <c r="CR75" i="7"/>
  <c r="CS74" i="7"/>
  <c r="CT73" i="7"/>
  <c r="CU72" i="7"/>
  <c r="CV71" i="7"/>
  <c r="CW70" i="7"/>
  <c r="CX69" i="7"/>
  <c r="CY68" i="7"/>
  <c r="CZ67" i="7"/>
  <c r="DA66" i="7"/>
  <c r="DB65" i="7"/>
  <c r="DC64" i="7"/>
  <c r="DD63" i="7"/>
  <c r="DE62" i="7"/>
  <c r="DF61" i="7"/>
  <c r="DG60" i="7"/>
  <c r="DH59" i="7"/>
  <c r="DI58" i="7"/>
  <c r="DJ57" i="7"/>
  <c r="DK56" i="7"/>
  <c r="DL55" i="7"/>
  <c r="DM54" i="7"/>
  <c r="DN53" i="7"/>
  <c r="BW97" i="7"/>
  <c r="BX96" i="7"/>
  <c r="BY95" i="7"/>
  <c r="BZ94" i="7"/>
  <c r="CA93" i="7"/>
  <c r="CB92" i="7"/>
  <c r="CC91" i="7"/>
  <c r="CD90" i="7"/>
  <c r="CE89" i="7"/>
  <c r="CF88" i="7"/>
  <c r="CG87" i="7"/>
  <c r="CH86" i="7"/>
  <c r="CI85" i="7"/>
  <c r="CJ84" i="7"/>
  <c r="CK83" i="7"/>
  <c r="CL82" i="7"/>
  <c r="CM81" i="7"/>
  <c r="CN80" i="7"/>
  <c r="CO79" i="7"/>
  <c r="CP78" i="7"/>
  <c r="CQ77" i="7"/>
  <c r="CR76" i="7"/>
  <c r="CS75" i="7"/>
  <c r="CT74" i="7"/>
  <c r="CU73" i="7"/>
  <c r="CV72" i="7"/>
  <c r="CW71" i="7"/>
  <c r="CX70" i="7"/>
  <c r="CY69" i="7"/>
  <c r="CZ68" i="7"/>
  <c r="DA67" i="7"/>
  <c r="DB66" i="7"/>
  <c r="DC65" i="7"/>
  <c r="DD64" i="7"/>
  <c r="DE63" i="7"/>
  <c r="DF62" i="7"/>
  <c r="DG61" i="7"/>
  <c r="DH60" i="7"/>
  <c r="DI59" i="7"/>
  <c r="DJ58" i="7"/>
  <c r="DK57" i="7"/>
  <c r="DL56" i="7"/>
  <c r="DM55" i="7"/>
  <c r="DN54" i="7"/>
  <c r="BX97" i="7"/>
  <c r="BY96" i="7"/>
  <c r="BZ95" i="7"/>
  <c r="CA94" i="7"/>
  <c r="CB93" i="7"/>
  <c r="CC92" i="7"/>
  <c r="CD91" i="7"/>
  <c r="CE90" i="7"/>
  <c r="CF89" i="7"/>
  <c r="CG88" i="7"/>
  <c r="CH87" i="7"/>
  <c r="CI86" i="7"/>
  <c r="CJ85" i="7"/>
  <c r="CK84" i="7"/>
  <c r="CL83" i="7"/>
  <c r="CM82" i="7"/>
  <c r="CN81" i="7"/>
  <c r="CO80" i="7"/>
  <c r="CP79" i="7"/>
  <c r="CQ78" i="7"/>
  <c r="CR77" i="7"/>
  <c r="CS76" i="7"/>
  <c r="CT75" i="7"/>
  <c r="CU74" i="7"/>
  <c r="CV73" i="7"/>
  <c r="CW72" i="7"/>
  <c r="CX71" i="7"/>
  <c r="CY70" i="7"/>
  <c r="CZ69" i="7"/>
  <c r="DA68" i="7"/>
  <c r="DB67" i="7"/>
  <c r="DC66" i="7"/>
  <c r="DD65" i="7"/>
  <c r="DE64" i="7"/>
  <c r="DF63" i="7"/>
  <c r="DG62" i="7"/>
  <c r="DH61" i="7"/>
  <c r="DI60" i="7"/>
  <c r="DJ59" i="7"/>
  <c r="DK58" i="7"/>
  <c r="DL57" i="7"/>
  <c r="DM56" i="7"/>
  <c r="DN55" i="7"/>
  <c r="BY97" i="7"/>
  <c r="BZ96" i="7"/>
  <c r="CA95" i="7"/>
  <c r="CB94" i="7"/>
  <c r="CC93" i="7"/>
  <c r="CD92" i="7"/>
  <c r="CE91" i="7"/>
  <c r="CF90" i="7"/>
  <c r="CG89" i="7"/>
  <c r="CH88" i="7"/>
  <c r="CI87" i="7"/>
  <c r="CJ86" i="7"/>
  <c r="CK85" i="7"/>
  <c r="CL84" i="7"/>
  <c r="CM83" i="7"/>
  <c r="CN82" i="7"/>
  <c r="CO81" i="7"/>
  <c r="CP80" i="7"/>
  <c r="CQ79" i="7"/>
  <c r="CR78" i="7"/>
  <c r="CS77" i="7"/>
  <c r="CT76" i="7"/>
  <c r="CU75" i="7"/>
  <c r="CV74" i="7"/>
  <c r="CW73" i="7"/>
  <c r="CX72" i="7"/>
  <c r="CY71" i="7"/>
  <c r="CZ70" i="7"/>
  <c r="DA69" i="7"/>
  <c r="DB68" i="7"/>
  <c r="DC67" i="7"/>
  <c r="DD66" i="7"/>
  <c r="DE65" i="7"/>
  <c r="DF64" i="7"/>
  <c r="DG63" i="7"/>
  <c r="DH62" i="7"/>
  <c r="DI61" i="7"/>
  <c r="DJ60" i="7"/>
  <c r="DK59" i="7"/>
  <c r="DL58" i="7"/>
  <c r="DM57" i="7"/>
  <c r="DN56" i="7"/>
  <c r="BZ97" i="7"/>
  <c r="CA96" i="7"/>
  <c r="CB95" i="7"/>
  <c r="CC94" i="7"/>
  <c r="CD93" i="7"/>
  <c r="CE92" i="7"/>
  <c r="CF91" i="7"/>
  <c r="CG90" i="7"/>
  <c r="CH89" i="7"/>
  <c r="CI88" i="7"/>
  <c r="CJ87" i="7"/>
  <c r="CK86" i="7"/>
  <c r="CL85" i="7"/>
  <c r="CM84" i="7"/>
  <c r="CN83" i="7"/>
  <c r="CO82" i="7"/>
  <c r="CP81" i="7"/>
  <c r="CQ80" i="7"/>
  <c r="CR79" i="7"/>
  <c r="CS78" i="7"/>
  <c r="CT77" i="7"/>
  <c r="CU76" i="7"/>
  <c r="CV75" i="7"/>
  <c r="CW74" i="7"/>
  <c r="CX73" i="7"/>
  <c r="CY72" i="7"/>
  <c r="CZ71" i="7"/>
  <c r="DA70" i="7"/>
  <c r="DB69" i="7"/>
  <c r="DC68" i="7"/>
  <c r="DD67" i="7"/>
  <c r="DE66" i="7"/>
  <c r="DF65" i="7"/>
  <c r="DG64" i="7"/>
  <c r="DH63" i="7"/>
  <c r="DI62" i="7"/>
  <c r="DJ61" i="7"/>
  <c r="DK60" i="7"/>
  <c r="DL59" i="7"/>
  <c r="DM58" i="7"/>
  <c r="DN57" i="7"/>
  <c r="CA97" i="7"/>
  <c r="CB96" i="7"/>
  <c r="CC95" i="7"/>
  <c r="CD94" i="7"/>
  <c r="CE93" i="7"/>
  <c r="CF92" i="7"/>
  <c r="CG91" i="7"/>
  <c r="CH90" i="7"/>
  <c r="CI89" i="7"/>
  <c r="CJ88" i="7"/>
  <c r="CK87" i="7"/>
  <c r="CL86" i="7"/>
  <c r="CM85" i="7"/>
  <c r="CN84" i="7"/>
  <c r="CO83" i="7"/>
  <c r="CP82" i="7"/>
  <c r="CQ81" i="7"/>
  <c r="CR80" i="7"/>
  <c r="CS79" i="7"/>
  <c r="CT78" i="7"/>
  <c r="CU77" i="7"/>
  <c r="CV76" i="7"/>
  <c r="CW75" i="7"/>
  <c r="CX74" i="7"/>
  <c r="CY73" i="7"/>
  <c r="CZ72" i="7"/>
  <c r="DA71" i="7"/>
  <c r="DB70" i="7"/>
  <c r="DC69" i="7"/>
  <c r="DD68" i="7"/>
  <c r="DE67" i="7"/>
  <c r="DF66" i="7"/>
  <c r="DG65" i="7"/>
  <c r="DH64" i="7"/>
  <c r="DI63" i="7"/>
  <c r="DJ62" i="7"/>
  <c r="DK61" i="7"/>
  <c r="DL60" i="7"/>
  <c r="DM59" i="7"/>
  <c r="DN58" i="7"/>
  <c r="CB97" i="7"/>
  <c r="CC96" i="7"/>
  <c r="CD95" i="7"/>
  <c r="CE94" i="7"/>
  <c r="CF93" i="7"/>
  <c r="CG92" i="7"/>
  <c r="CH91" i="7"/>
  <c r="CI90" i="7"/>
  <c r="CJ89" i="7"/>
  <c r="CK88" i="7"/>
  <c r="CL87" i="7"/>
  <c r="CM86" i="7"/>
  <c r="CN85" i="7"/>
  <c r="CO84" i="7"/>
  <c r="CP83" i="7"/>
  <c r="CQ82" i="7"/>
  <c r="CR81" i="7"/>
  <c r="CS80" i="7"/>
  <c r="CT79" i="7"/>
  <c r="CU78" i="7"/>
  <c r="CV77" i="7"/>
  <c r="CW76" i="7"/>
  <c r="CX75" i="7"/>
  <c r="CY74" i="7"/>
  <c r="CZ73" i="7"/>
  <c r="DA72" i="7"/>
  <c r="DB71" i="7"/>
  <c r="DC70" i="7"/>
  <c r="DD69" i="7"/>
  <c r="DE68" i="7"/>
  <c r="DF67" i="7"/>
  <c r="DG66" i="7"/>
  <c r="DH65" i="7"/>
  <c r="DI64" i="7"/>
  <c r="DJ63" i="7"/>
  <c r="DK62" i="7"/>
  <c r="DL61" i="7"/>
  <c r="DM60" i="7"/>
  <c r="DN59" i="7"/>
  <c r="CC97" i="7"/>
  <c r="CD96" i="7"/>
  <c r="CE95" i="7"/>
  <c r="CF94" i="7"/>
  <c r="CG93" i="7"/>
  <c r="CH92" i="7"/>
  <c r="CI91" i="7"/>
  <c r="CJ90" i="7"/>
  <c r="CK89" i="7"/>
  <c r="CL88" i="7"/>
  <c r="CM87" i="7"/>
  <c r="CN86" i="7"/>
  <c r="CO85" i="7"/>
  <c r="CP84" i="7"/>
  <c r="CQ83" i="7"/>
  <c r="CR82" i="7"/>
  <c r="CS81" i="7"/>
  <c r="CT80" i="7"/>
  <c r="CU79" i="7"/>
  <c r="CV78" i="7"/>
  <c r="CW77" i="7"/>
  <c r="CX76" i="7"/>
  <c r="CY75" i="7"/>
  <c r="CZ74" i="7"/>
  <c r="DA73" i="7"/>
  <c r="DB72" i="7"/>
  <c r="DC71" i="7"/>
  <c r="DD70" i="7"/>
  <c r="DE69" i="7"/>
  <c r="DF68" i="7"/>
  <c r="DG67" i="7"/>
  <c r="DH66" i="7"/>
  <c r="DI65" i="7"/>
  <c r="DJ64" i="7"/>
  <c r="DK63" i="7"/>
  <c r="DL62" i="7"/>
  <c r="DM61" i="7"/>
  <c r="DN60" i="7"/>
  <c r="CD97" i="7"/>
  <c r="CE96" i="7"/>
  <c r="CF95" i="7"/>
  <c r="CG94" i="7"/>
  <c r="CH93" i="7"/>
  <c r="CI92" i="7"/>
  <c r="CJ91" i="7"/>
  <c r="CK90" i="7"/>
  <c r="CL89" i="7"/>
  <c r="CM88" i="7"/>
  <c r="CN87" i="7"/>
  <c r="CO86" i="7"/>
  <c r="CP85" i="7"/>
  <c r="CQ84" i="7"/>
  <c r="CR83" i="7"/>
  <c r="CS82" i="7"/>
  <c r="CT81" i="7"/>
  <c r="CU80" i="7"/>
  <c r="CV79" i="7"/>
  <c r="CW78" i="7"/>
  <c r="CX77" i="7"/>
  <c r="CY76" i="7"/>
  <c r="CZ75" i="7"/>
  <c r="DA74" i="7"/>
  <c r="DB73" i="7"/>
  <c r="DC72" i="7"/>
  <c r="DD71" i="7"/>
  <c r="DE70" i="7"/>
  <c r="DF69" i="7"/>
  <c r="DG68" i="7"/>
  <c r="DH67" i="7"/>
  <c r="DI66" i="7"/>
  <c r="DJ65" i="7"/>
  <c r="DK64" i="7"/>
  <c r="DL63" i="7"/>
  <c r="DM62" i="7"/>
  <c r="DN61" i="7"/>
  <c r="CE97" i="7"/>
  <c r="CF96" i="7"/>
  <c r="CG95" i="7"/>
  <c r="CH94" i="7"/>
  <c r="CI93" i="7"/>
  <c r="CJ92" i="7"/>
  <c r="CK91" i="7"/>
  <c r="CL90" i="7"/>
  <c r="CM89" i="7"/>
  <c r="CN88" i="7"/>
  <c r="CO87" i="7"/>
  <c r="CP86" i="7"/>
  <c r="CQ85" i="7"/>
  <c r="CR84" i="7"/>
  <c r="CS83" i="7"/>
  <c r="CT82" i="7"/>
  <c r="CU81" i="7"/>
  <c r="CV80" i="7"/>
  <c r="CW79" i="7"/>
  <c r="CX78" i="7"/>
  <c r="CY77" i="7"/>
  <c r="CZ76" i="7"/>
  <c r="DA75" i="7"/>
  <c r="DB74" i="7"/>
  <c r="DC73" i="7"/>
  <c r="DD72" i="7"/>
  <c r="DE71" i="7"/>
  <c r="DF70" i="7"/>
  <c r="DG69" i="7"/>
  <c r="DH68" i="7"/>
  <c r="DI67" i="7"/>
  <c r="DJ66" i="7"/>
  <c r="DK65" i="7"/>
  <c r="DL64" i="7"/>
  <c r="DM63" i="7"/>
  <c r="DN62" i="7"/>
  <c r="CF97" i="7"/>
  <c r="CG96" i="7"/>
  <c r="CH95" i="7"/>
  <c r="CI94" i="7"/>
  <c r="CJ93" i="7"/>
  <c r="CK92" i="7"/>
  <c r="CL91" i="7"/>
  <c r="CM90" i="7"/>
  <c r="CN89" i="7"/>
  <c r="CO88" i="7"/>
  <c r="CP87" i="7"/>
  <c r="CQ86" i="7"/>
  <c r="CR85" i="7"/>
  <c r="CS84" i="7"/>
  <c r="CT83" i="7"/>
  <c r="CU82" i="7"/>
  <c r="CV81" i="7"/>
  <c r="CW80" i="7"/>
  <c r="CX79" i="7"/>
  <c r="CY78" i="7"/>
  <c r="CZ77" i="7"/>
  <c r="DA76" i="7"/>
  <c r="DB75" i="7"/>
  <c r="DC74" i="7"/>
  <c r="DD73" i="7"/>
  <c r="DE72" i="7"/>
  <c r="DF71" i="7"/>
  <c r="DG70" i="7"/>
  <c r="DH69" i="7"/>
  <c r="DI68" i="7"/>
  <c r="DJ67" i="7"/>
  <c r="DK66" i="7"/>
  <c r="DL65" i="7"/>
  <c r="DM64" i="7"/>
  <c r="DN63" i="7"/>
  <c r="CG97" i="7"/>
  <c r="CH96" i="7"/>
  <c r="CI95" i="7"/>
  <c r="CJ94" i="7"/>
  <c r="CK93" i="7"/>
  <c r="CL92" i="7"/>
  <c r="CM91" i="7"/>
  <c r="CN90" i="7"/>
  <c r="CO89" i="7"/>
  <c r="CP88" i="7"/>
  <c r="CQ87" i="7"/>
  <c r="CR86" i="7"/>
  <c r="CS85" i="7"/>
  <c r="CT84" i="7"/>
  <c r="CU83" i="7"/>
  <c r="CV82" i="7"/>
  <c r="CW81" i="7"/>
  <c r="CX80" i="7"/>
  <c r="CY79" i="7"/>
  <c r="CZ78" i="7"/>
  <c r="DA77" i="7"/>
  <c r="DB76" i="7"/>
  <c r="DC75" i="7"/>
  <c r="DD74" i="7"/>
  <c r="DE73" i="7"/>
  <c r="DF72" i="7"/>
  <c r="DG71" i="7"/>
  <c r="DH70" i="7"/>
  <c r="DI69" i="7"/>
  <c r="DJ68" i="7"/>
  <c r="DK67" i="7"/>
  <c r="DL66" i="7"/>
  <c r="DM65" i="7"/>
  <c r="DN64" i="7"/>
  <c r="CH97" i="7"/>
  <c r="CI96" i="7"/>
  <c r="CJ95" i="7"/>
  <c r="CK94" i="7"/>
  <c r="CL93" i="7"/>
  <c r="CM92" i="7"/>
  <c r="CN91" i="7"/>
  <c r="CO90" i="7"/>
  <c r="CP89" i="7"/>
  <c r="CQ88" i="7"/>
  <c r="CR87" i="7"/>
  <c r="CS86" i="7"/>
  <c r="CT85" i="7"/>
  <c r="CU84" i="7"/>
  <c r="CV83" i="7"/>
  <c r="CW82" i="7"/>
  <c r="CX81" i="7"/>
  <c r="CY80" i="7"/>
  <c r="CZ79" i="7"/>
  <c r="DA78" i="7"/>
  <c r="DB77" i="7"/>
  <c r="DC76" i="7"/>
  <c r="DD75" i="7"/>
  <c r="DE74" i="7"/>
  <c r="DF73" i="7"/>
  <c r="DG72" i="7"/>
  <c r="DH71" i="7"/>
  <c r="DI70" i="7"/>
  <c r="DJ69" i="7"/>
  <c r="DK68" i="7"/>
  <c r="DL67" i="7"/>
  <c r="DM66" i="7"/>
  <c r="DN65" i="7"/>
  <c r="CI97" i="7"/>
  <c r="CJ96" i="7"/>
  <c r="CK95" i="7"/>
  <c r="CL94" i="7"/>
  <c r="CM93" i="7"/>
  <c r="CN92" i="7"/>
  <c r="CO91" i="7"/>
  <c r="CP90" i="7"/>
  <c r="CQ89" i="7"/>
  <c r="CR88" i="7"/>
  <c r="CS87" i="7"/>
  <c r="CT86" i="7"/>
  <c r="CU85" i="7"/>
  <c r="CV84" i="7"/>
  <c r="CW83" i="7"/>
  <c r="CX82" i="7"/>
  <c r="CY81" i="7"/>
  <c r="CZ80" i="7"/>
  <c r="DA79" i="7"/>
  <c r="DB78" i="7"/>
  <c r="DC77" i="7"/>
  <c r="DD76" i="7"/>
  <c r="DE75" i="7"/>
  <c r="DF74" i="7"/>
  <c r="DG73" i="7"/>
  <c r="DH72" i="7"/>
  <c r="DI71" i="7"/>
  <c r="DJ70" i="7"/>
  <c r="DK69" i="7"/>
  <c r="DL68" i="7"/>
  <c r="DM67" i="7"/>
  <c r="DN66" i="7"/>
  <c r="CJ97" i="7"/>
  <c r="CK96" i="7"/>
  <c r="CL95" i="7"/>
  <c r="CM94" i="7"/>
  <c r="CN93" i="7"/>
  <c r="CO92" i="7"/>
  <c r="CP91" i="7"/>
  <c r="CQ90" i="7"/>
  <c r="CR89" i="7"/>
  <c r="CS88" i="7"/>
  <c r="CT87" i="7"/>
  <c r="CU86" i="7"/>
  <c r="CV85" i="7"/>
  <c r="CW84" i="7"/>
  <c r="CX83" i="7"/>
  <c r="CY82" i="7"/>
  <c r="CZ81" i="7"/>
  <c r="DA80" i="7"/>
  <c r="DB79" i="7"/>
  <c r="DC78" i="7"/>
  <c r="DD77" i="7"/>
  <c r="DE76" i="7"/>
  <c r="DF75" i="7"/>
  <c r="DG74" i="7"/>
  <c r="DH73" i="7"/>
  <c r="DI72" i="7"/>
  <c r="DJ71" i="7"/>
  <c r="DK70" i="7"/>
  <c r="DL69" i="7"/>
  <c r="DM68" i="7"/>
  <c r="DN67" i="7"/>
  <c r="CK97" i="7"/>
  <c r="CL96" i="7"/>
  <c r="CM95" i="7"/>
  <c r="CN94" i="7"/>
  <c r="CO93" i="7"/>
  <c r="CP92" i="7"/>
  <c r="CQ91" i="7"/>
  <c r="CR90" i="7"/>
  <c r="CS89" i="7"/>
  <c r="CT88" i="7"/>
  <c r="CU87" i="7"/>
  <c r="CV86" i="7"/>
  <c r="CW85" i="7"/>
  <c r="CX84" i="7"/>
  <c r="CY83" i="7"/>
  <c r="CZ82" i="7"/>
  <c r="DA81" i="7"/>
  <c r="DB80" i="7"/>
  <c r="DC79" i="7"/>
  <c r="DD78" i="7"/>
  <c r="DE77" i="7"/>
  <c r="DF76" i="7"/>
  <c r="DG75" i="7"/>
  <c r="DH74" i="7"/>
  <c r="DI73" i="7"/>
  <c r="DJ72" i="7"/>
  <c r="DK71" i="7"/>
  <c r="DL70" i="7"/>
  <c r="DM69" i="7"/>
  <c r="DN68" i="7"/>
  <c r="CL97" i="7"/>
  <c r="CM96" i="7"/>
  <c r="CN95" i="7"/>
  <c r="CO94" i="7"/>
  <c r="CP93" i="7"/>
  <c r="CQ92" i="7"/>
  <c r="CR91" i="7"/>
  <c r="CS90" i="7"/>
  <c r="CT89" i="7"/>
  <c r="CU88" i="7"/>
  <c r="CV87" i="7"/>
  <c r="CW86" i="7"/>
  <c r="CX85" i="7"/>
  <c r="CY84" i="7"/>
  <c r="CZ83" i="7"/>
  <c r="DA82" i="7"/>
  <c r="DB81" i="7"/>
  <c r="DC80" i="7"/>
  <c r="DD79" i="7"/>
  <c r="DE78" i="7"/>
  <c r="DF77" i="7"/>
  <c r="DG76" i="7"/>
  <c r="DH75" i="7"/>
  <c r="DI74" i="7"/>
  <c r="DJ73" i="7"/>
  <c r="DK72" i="7"/>
  <c r="DL71" i="7"/>
  <c r="DM70" i="7"/>
  <c r="DN69" i="7"/>
  <c r="CM97" i="7"/>
  <c r="CN96" i="7"/>
  <c r="CO95" i="7"/>
  <c r="CP94" i="7"/>
  <c r="CQ93" i="7"/>
  <c r="CR92" i="7"/>
  <c r="CS91" i="7"/>
  <c r="CT90" i="7"/>
  <c r="CU89" i="7"/>
  <c r="CV88" i="7"/>
  <c r="CW87" i="7"/>
  <c r="CX86" i="7"/>
  <c r="CY85" i="7"/>
  <c r="CZ84" i="7"/>
  <c r="DA83" i="7"/>
  <c r="DB82" i="7"/>
  <c r="DC81" i="7"/>
  <c r="DD80" i="7"/>
  <c r="DE79" i="7"/>
  <c r="DF78" i="7"/>
  <c r="DG77" i="7"/>
  <c r="DH76" i="7"/>
  <c r="DI75" i="7"/>
  <c r="DJ74" i="7"/>
  <c r="DK73" i="7"/>
  <c r="DL72" i="7"/>
  <c r="DM71" i="7"/>
  <c r="DN70" i="7"/>
  <c r="CN97" i="7"/>
  <c r="CO96" i="7"/>
  <c r="CP95" i="7"/>
  <c r="CQ94" i="7"/>
  <c r="CR93" i="7"/>
  <c r="CS92" i="7"/>
  <c r="CT91" i="7"/>
  <c r="CU90" i="7"/>
  <c r="CV89" i="7"/>
  <c r="CW88" i="7"/>
  <c r="CX87" i="7"/>
  <c r="CY86" i="7"/>
  <c r="CZ85" i="7"/>
  <c r="DA84" i="7"/>
  <c r="DB83" i="7"/>
  <c r="DC82" i="7"/>
  <c r="DD81" i="7"/>
  <c r="DE80" i="7"/>
  <c r="DF79" i="7"/>
  <c r="DG78" i="7"/>
  <c r="DH77" i="7"/>
  <c r="DI76" i="7"/>
  <c r="DJ75" i="7"/>
  <c r="DK74" i="7"/>
  <c r="DL73" i="7"/>
  <c r="DM72" i="7"/>
  <c r="DN71" i="7"/>
  <c r="CO97" i="7"/>
  <c r="CP96" i="7"/>
  <c r="CQ95" i="7"/>
  <c r="CR94" i="7"/>
  <c r="CS93" i="7"/>
  <c r="CT92" i="7"/>
  <c r="CU91" i="7"/>
  <c r="CV90" i="7"/>
  <c r="CW89" i="7"/>
  <c r="CX88" i="7"/>
  <c r="CY87" i="7"/>
  <c r="CZ86" i="7"/>
  <c r="DA85" i="7"/>
  <c r="DB84" i="7"/>
  <c r="DC83" i="7"/>
  <c r="DD82" i="7"/>
  <c r="DE81" i="7"/>
  <c r="DF80" i="7"/>
  <c r="DG79" i="7"/>
  <c r="DH78" i="7"/>
  <c r="DI77" i="7"/>
  <c r="DJ76" i="7"/>
  <c r="DK75" i="7"/>
  <c r="DL74" i="7"/>
  <c r="DM73" i="7"/>
  <c r="DN72" i="7"/>
  <c r="CP97" i="7"/>
  <c r="CQ96" i="7"/>
  <c r="CR95" i="7"/>
  <c r="CS94" i="7"/>
  <c r="CT93" i="7"/>
  <c r="CU92" i="7"/>
  <c r="CV91" i="7"/>
  <c r="CW90" i="7"/>
  <c r="CX89" i="7"/>
  <c r="CY88" i="7"/>
  <c r="CZ87" i="7"/>
  <c r="DA86" i="7"/>
  <c r="DB85" i="7"/>
  <c r="DC84" i="7"/>
  <c r="DD83" i="7"/>
  <c r="DE82" i="7"/>
  <c r="DF81" i="7"/>
  <c r="DG80" i="7"/>
  <c r="DH79" i="7"/>
  <c r="DI78" i="7"/>
  <c r="DJ77" i="7"/>
  <c r="DK76" i="7"/>
  <c r="DL75" i="7"/>
  <c r="DM74" i="7"/>
  <c r="DN73" i="7"/>
  <c r="CQ97" i="7"/>
  <c r="CR96" i="7"/>
  <c r="CS95" i="7"/>
  <c r="CT94" i="7"/>
  <c r="CU93" i="7"/>
  <c r="CV92" i="7"/>
  <c r="CW91" i="7"/>
  <c r="CX90" i="7"/>
  <c r="CY89" i="7"/>
  <c r="CZ88" i="7"/>
  <c r="DA87" i="7"/>
  <c r="DB86" i="7"/>
  <c r="DC85" i="7"/>
  <c r="DD84" i="7"/>
  <c r="DE83" i="7"/>
  <c r="DF82" i="7"/>
  <c r="DG81" i="7"/>
  <c r="DH80" i="7"/>
  <c r="DI79" i="7"/>
  <c r="DJ78" i="7"/>
  <c r="DK77" i="7"/>
  <c r="DL76" i="7"/>
  <c r="DM75" i="7"/>
  <c r="DN74" i="7"/>
  <c r="CR97" i="7"/>
  <c r="CS96" i="7"/>
  <c r="CT95" i="7"/>
  <c r="CU94" i="7"/>
  <c r="CV93" i="7"/>
  <c r="CW92" i="7"/>
  <c r="CX91" i="7"/>
  <c r="CY90" i="7"/>
  <c r="CZ89" i="7"/>
  <c r="DA88" i="7"/>
  <c r="DB87" i="7"/>
  <c r="DC86" i="7"/>
  <c r="DD85" i="7"/>
  <c r="DE84" i="7"/>
  <c r="DF83" i="7"/>
  <c r="DG82" i="7"/>
  <c r="DH81" i="7"/>
  <c r="DI80" i="7"/>
  <c r="DJ79" i="7"/>
  <c r="DK78" i="7"/>
  <c r="DL77" i="7"/>
  <c r="DM76" i="7"/>
  <c r="DN75" i="7"/>
  <c r="CS97" i="7"/>
  <c r="CT96" i="7"/>
  <c r="CU95" i="7"/>
  <c r="CV94" i="7"/>
  <c r="CW93" i="7"/>
  <c r="CX92" i="7"/>
  <c r="CY91" i="7"/>
  <c r="CZ90" i="7"/>
  <c r="DA89" i="7"/>
  <c r="DB88" i="7"/>
  <c r="DC87" i="7"/>
  <c r="DD86" i="7"/>
  <c r="DE85" i="7"/>
  <c r="DF84" i="7"/>
  <c r="DG83" i="7"/>
  <c r="DH82" i="7"/>
  <c r="DI81" i="7"/>
  <c r="DJ80" i="7"/>
  <c r="DK79" i="7"/>
  <c r="DL78" i="7"/>
  <c r="DM77" i="7"/>
  <c r="DN76" i="7"/>
  <c r="CT97" i="7"/>
  <c r="CU96" i="7"/>
  <c r="CV95" i="7"/>
  <c r="CW94" i="7"/>
  <c r="CX93" i="7"/>
  <c r="CY92" i="7"/>
  <c r="CZ91" i="7"/>
  <c r="DA90" i="7"/>
  <c r="DB89" i="7"/>
  <c r="DC88" i="7"/>
  <c r="DD87" i="7"/>
  <c r="DE86" i="7"/>
  <c r="DF85" i="7"/>
  <c r="DG84" i="7"/>
  <c r="DH83" i="7"/>
  <c r="DI82" i="7"/>
  <c r="DJ81" i="7"/>
  <c r="DK80" i="7"/>
  <c r="DL79" i="7"/>
  <c r="DM78" i="7"/>
  <c r="DN77" i="7"/>
  <c r="CU97" i="7"/>
  <c r="CV96" i="7"/>
  <c r="CW95" i="7"/>
  <c r="CX94" i="7"/>
  <c r="CY93" i="7"/>
  <c r="CZ92" i="7"/>
  <c r="DA91" i="7"/>
  <c r="DB90" i="7"/>
  <c r="DC89" i="7"/>
  <c r="DD88" i="7"/>
  <c r="DE87" i="7"/>
  <c r="DF86" i="7"/>
  <c r="DG85" i="7"/>
  <c r="DH84" i="7"/>
  <c r="DI83" i="7"/>
  <c r="DJ82" i="7"/>
  <c r="DK81" i="7"/>
  <c r="DL80" i="7"/>
  <c r="DM79" i="7"/>
  <c r="DN78" i="7"/>
  <c r="CV97" i="7"/>
  <c r="CW96" i="7"/>
  <c r="CX95" i="7"/>
  <c r="CY94" i="7"/>
  <c r="CZ93" i="7"/>
  <c r="DA92" i="7"/>
  <c r="DB91" i="7"/>
  <c r="DC90" i="7"/>
  <c r="DD89" i="7"/>
  <c r="DE88" i="7"/>
  <c r="DF87" i="7"/>
  <c r="DG86" i="7"/>
  <c r="DH85" i="7"/>
  <c r="DI84" i="7"/>
  <c r="DJ83" i="7"/>
  <c r="DK82" i="7"/>
  <c r="DL81" i="7"/>
  <c r="DM80" i="7"/>
  <c r="DN79" i="7"/>
  <c r="CW97" i="7"/>
  <c r="CX96" i="7"/>
  <c r="CY95" i="7"/>
  <c r="CZ94" i="7"/>
  <c r="DA93" i="7"/>
  <c r="DB92" i="7"/>
  <c r="DC91" i="7"/>
  <c r="DD90" i="7"/>
  <c r="DE89" i="7"/>
  <c r="DF88" i="7"/>
  <c r="DG87" i="7"/>
  <c r="DH86" i="7"/>
  <c r="DI85" i="7"/>
  <c r="DJ84" i="7"/>
  <c r="DK83" i="7"/>
  <c r="DL82" i="7"/>
  <c r="DM81" i="7"/>
  <c r="DN80" i="7"/>
  <c r="CX97" i="7"/>
  <c r="CY96" i="7"/>
  <c r="CZ95" i="7"/>
  <c r="DA94" i="7"/>
  <c r="DB93" i="7"/>
  <c r="DC92" i="7"/>
  <c r="DD91" i="7"/>
  <c r="DE90" i="7"/>
  <c r="DF89" i="7"/>
  <c r="DG88" i="7"/>
  <c r="DH87" i="7"/>
  <c r="DI86" i="7"/>
  <c r="DJ85" i="7"/>
  <c r="DK84" i="7"/>
  <c r="DL83" i="7"/>
  <c r="DM82" i="7"/>
  <c r="DN81" i="7"/>
  <c r="CY97" i="7"/>
  <c r="CZ96" i="7"/>
  <c r="DA95" i="7"/>
  <c r="DB94" i="7"/>
  <c r="DC93" i="7"/>
  <c r="DD92" i="7"/>
  <c r="DE91" i="7"/>
  <c r="DF90" i="7"/>
  <c r="DG89" i="7"/>
  <c r="DH88" i="7"/>
  <c r="DI87" i="7"/>
  <c r="DJ86" i="7"/>
  <c r="DK85" i="7"/>
  <c r="DL84" i="7"/>
  <c r="DM83" i="7"/>
  <c r="DN82" i="7"/>
  <c r="CZ97" i="7"/>
  <c r="DA96" i="7"/>
  <c r="DB95" i="7"/>
  <c r="DC94" i="7"/>
  <c r="DD93" i="7"/>
  <c r="DE92" i="7"/>
  <c r="DF91" i="7"/>
  <c r="DG90" i="7"/>
  <c r="DH89" i="7"/>
  <c r="DI88" i="7"/>
  <c r="DJ87" i="7"/>
  <c r="DK86" i="7"/>
  <c r="DL85" i="7"/>
  <c r="DM84" i="7"/>
  <c r="DN83" i="7"/>
  <c r="DA97" i="7"/>
  <c r="DB96" i="7"/>
  <c r="DC95" i="7"/>
  <c r="DD94" i="7"/>
  <c r="DE93" i="7"/>
  <c r="DF92" i="7"/>
  <c r="DG91" i="7"/>
  <c r="DH90" i="7"/>
  <c r="DI89" i="7"/>
  <c r="DJ88" i="7"/>
  <c r="DK87" i="7"/>
  <c r="DL86" i="7"/>
  <c r="DM85" i="7"/>
  <c r="DN84" i="7"/>
  <c r="DB97" i="7"/>
  <c r="DC96" i="7"/>
  <c r="DD95" i="7"/>
  <c r="DE94" i="7"/>
  <c r="DF93" i="7"/>
  <c r="DG92" i="7"/>
  <c r="DH91" i="7"/>
  <c r="DI90" i="7"/>
  <c r="DJ89" i="7"/>
  <c r="DK88" i="7"/>
  <c r="DL87" i="7"/>
  <c r="DM86" i="7"/>
  <c r="DN85" i="7"/>
  <c r="DC97" i="7"/>
  <c r="DD96" i="7"/>
  <c r="DE95" i="7"/>
  <c r="DF94" i="7"/>
  <c r="DG93" i="7"/>
  <c r="DH92" i="7"/>
  <c r="DI91" i="7"/>
  <c r="DJ90" i="7"/>
  <c r="DK89" i="7"/>
  <c r="DL88" i="7"/>
  <c r="DM87" i="7"/>
  <c r="DN86" i="7"/>
  <c r="DD97" i="7"/>
  <c r="DE96" i="7"/>
  <c r="DF95" i="7"/>
  <c r="DG94" i="7"/>
  <c r="DH93" i="7"/>
  <c r="DI92" i="7"/>
  <c r="DJ91" i="7"/>
  <c r="DK90" i="7"/>
  <c r="DL89" i="7"/>
  <c r="DM88" i="7"/>
  <c r="DN87" i="7"/>
  <c r="DE97" i="7"/>
  <c r="DF96" i="7"/>
  <c r="DG95" i="7"/>
  <c r="DH94" i="7"/>
  <c r="DI93" i="7"/>
  <c r="DJ92" i="7"/>
  <c r="DK91" i="7"/>
  <c r="DL90" i="7"/>
  <c r="DM89" i="7"/>
  <c r="DN88" i="7"/>
  <c r="DF97" i="7"/>
  <c r="DG96" i="7"/>
  <c r="DH95" i="7"/>
  <c r="DI94" i="7"/>
  <c r="DJ93" i="7"/>
  <c r="DK92" i="7"/>
  <c r="DL91" i="7"/>
  <c r="DM90" i="7"/>
  <c r="DN89" i="7"/>
  <c r="DG97" i="7"/>
  <c r="DH96" i="7"/>
  <c r="DI95" i="7"/>
  <c r="DJ94" i="7"/>
  <c r="DK93" i="7"/>
  <c r="DL92" i="7"/>
  <c r="DM91" i="7"/>
  <c r="DN90" i="7"/>
  <c r="DH97" i="7"/>
  <c r="DI96" i="7"/>
  <c r="DJ95" i="7"/>
  <c r="DK94" i="7"/>
  <c r="DL93" i="7"/>
  <c r="DM92" i="7"/>
  <c r="DN91" i="7"/>
  <c r="DI97" i="7"/>
  <c r="DJ96" i="7"/>
  <c r="DK95" i="7"/>
  <c r="DL94" i="7"/>
  <c r="DM93" i="7"/>
  <c r="DN92" i="7"/>
  <c r="DJ97" i="7"/>
  <c r="DK96" i="7"/>
  <c r="DL95" i="7"/>
  <c r="DM94" i="7"/>
  <c r="DN93" i="7"/>
  <c r="DK97" i="7"/>
  <c r="DL96" i="7"/>
  <c r="DM95" i="7"/>
  <c r="DN94" i="7"/>
  <c r="DL97" i="7"/>
  <c r="DM96" i="7"/>
  <c r="DN95" i="7"/>
  <c r="DM97" i="7"/>
  <c r="DN96" i="7"/>
  <c r="DN97" i="7"/>
  <c r="K95" i="9"/>
  <c r="F95" i="10"/>
  <c r="O95" i="8"/>
  <c r="C95" i="10"/>
  <c r="J95" i="10"/>
  <c r="J95" i="9"/>
  <c r="E95" i="10"/>
  <c r="N95" i="8"/>
  <c r="B95" i="10"/>
  <c r="I95" i="10"/>
  <c r="K94" i="9"/>
  <c r="F94" i="10"/>
  <c r="O94" i="8"/>
  <c r="C94" i="10"/>
  <c r="J94" i="10"/>
  <c r="J94" i="9"/>
  <c r="E94" i="10"/>
  <c r="N94" i="8"/>
  <c r="B94" i="10"/>
  <c r="I94" i="10"/>
  <c r="K93" i="9"/>
  <c r="F93" i="10"/>
  <c r="O93" i="8"/>
  <c r="C93" i="10"/>
  <c r="J93" i="10"/>
  <c r="J93" i="9"/>
  <c r="E93" i="10"/>
  <c r="N93" i="8"/>
  <c r="B93" i="10"/>
  <c r="I93" i="10"/>
  <c r="K92" i="9"/>
  <c r="F92" i="10"/>
  <c r="O92" i="8"/>
  <c r="C92" i="10"/>
  <c r="J92" i="10"/>
  <c r="J92" i="9"/>
  <c r="E92" i="10"/>
  <c r="N92" i="8"/>
  <c r="B92" i="10"/>
  <c r="I92" i="10"/>
  <c r="K91" i="9"/>
  <c r="F91" i="10"/>
  <c r="O91" i="8"/>
  <c r="C91" i="10"/>
  <c r="J91" i="10"/>
  <c r="J91" i="9"/>
  <c r="E91" i="10"/>
  <c r="N91" i="8"/>
  <c r="B91" i="10"/>
  <c r="I91" i="10"/>
  <c r="K90" i="9"/>
  <c r="F90" i="10"/>
  <c r="O90" i="8"/>
  <c r="C90" i="10"/>
  <c r="J90" i="10"/>
  <c r="J90" i="9"/>
  <c r="E90" i="10"/>
  <c r="N90" i="8"/>
  <c r="B90" i="10"/>
  <c r="I90" i="10"/>
  <c r="K89" i="9"/>
  <c r="F89" i="10"/>
  <c r="O89" i="8"/>
  <c r="C89" i="10"/>
  <c r="J89" i="10"/>
  <c r="J89" i="9"/>
  <c r="E89" i="10"/>
  <c r="N89" i="8"/>
  <c r="B89" i="10"/>
  <c r="I89" i="10"/>
  <c r="K88" i="9"/>
  <c r="F88" i="10"/>
  <c r="O88" i="8"/>
  <c r="C88" i="10"/>
  <c r="J88" i="10"/>
  <c r="J88" i="9"/>
  <c r="E88" i="10"/>
  <c r="N88" i="8"/>
  <c r="B88" i="10"/>
  <c r="I88" i="10"/>
  <c r="K87" i="9"/>
  <c r="F87" i="10"/>
  <c r="O87" i="8"/>
  <c r="C87" i="10"/>
  <c r="J87" i="10"/>
  <c r="J87" i="9"/>
  <c r="E87" i="10"/>
  <c r="N87" i="8"/>
  <c r="B87" i="10"/>
  <c r="I87" i="10"/>
  <c r="K86" i="9"/>
  <c r="F86" i="10"/>
  <c r="O86" i="8"/>
  <c r="C86" i="10"/>
  <c r="J86" i="10"/>
  <c r="J86" i="9"/>
  <c r="E86" i="10"/>
  <c r="N86" i="8"/>
  <c r="B86" i="10"/>
  <c r="I86" i="10"/>
  <c r="K85" i="9"/>
  <c r="F85" i="10"/>
  <c r="O85" i="8"/>
  <c r="C85" i="10"/>
  <c r="J85" i="10"/>
  <c r="J85" i="9"/>
  <c r="E85" i="10"/>
  <c r="N85" i="8"/>
  <c r="B85" i="10"/>
  <c r="I85" i="10"/>
  <c r="K84" i="9"/>
  <c r="F84" i="10"/>
  <c r="O84" i="8"/>
  <c r="C84" i="10"/>
  <c r="J84" i="10"/>
  <c r="J84" i="9"/>
  <c r="E84" i="10"/>
  <c r="N84" i="8"/>
  <c r="B84" i="10"/>
  <c r="I84" i="10"/>
  <c r="K83" i="9"/>
  <c r="F83" i="10"/>
  <c r="O83" i="8"/>
  <c r="C83" i="10"/>
  <c r="J83" i="10"/>
  <c r="J83" i="9"/>
  <c r="E83" i="10"/>
  <c r="N83" i="8"/>
  <c r="B83" i="10"/>
  <c r="I83" i="10"/>
  <c r="K82" i="9"/>
  <c r="F82" i="10"/>
  <c r="O82" i="8"/>
  <c r="C82" i="10"/>
  <c r="J82" i="10"/>
  <c r="J82" i="9"/>
  <c r="E82" i="10"/>
  <c r="N82" i="8"/>
  <c r="B82" i="10"/>
  <c r="I82" i="10"/>
  <c r="K81" i="9"/>
  <c r="F81" i="10"/>
  <c r="O81" i="8"/>
  <c r="C81" i="10"/>
  <c r="J81" i="10"/>
  <c r="J81" i="9"/>
  <c r="E81" i="10"/>
  <c r="N81" i="8"/>
  <c r="B81" i="10"/>
  <c r="I81" i="10"/>
  <c r="K80" i="9"/>
  <c r="F80" i="10"/>
  <c r="O80" i="8"/>
  <c r="C80" i="10"/>
  <c r="J80" i="10"/>
  <c r="J80" i="9"/>
  <c r="E80" i="10"/>
  <c r="N80" i="8"/>
  <c r="B80" i="10"/>
  <c r="I80" i="10"/>
  <c r="K79" i="9"/>
  <c r="F79" i="10"/>
  <c r="O79" i="8"/>
  <c r="C79" i="10"/>
  <c r="J79" i="10"/>
  <c r="J79" i="9"/>
  <c r="E79" i="10"/>
  <c r="N79" i="8"/>
  <c r="B79" i="10"/>
  <c r="I79" i="10"/>
  <c r="K78" i="9"/>
  <c r="F78" i="10"/>
  <c r="O78" i="8"/>
  <c r="C78" i="10"/>
  <c r="J78" i="10"/>
  <c r="J78" i="9"/>
  <c r="E78" i="10"/>
  <c r="N78" i="8"/>
  <c r="B78" i="10"/>
  <c r="I78" i="10"/>
  <c r="K77" i="9"/>
  <c r="F77" i="10"/>
  <c r="O77" i="8"/>
  <c r="C77" i="10"/>
  <c r="J77" i="10"/>
  <c r="J77" i="9"/>
  <c r="E77" i="10"/>
  <c r="N77" i="8"/>
  <c r="B77" i="10"/>
  <c r="I77" i="10"/>
  <c r="K76" i="9"/>
  <c r="F76" i="10"/>
  <c r="O76" i="8"/>
  <c r="C76" i="10"/>
  <c r="J76" i="10"/>
  <c r="J76" i="9"/>
  <c r="E76" i="10"/>
  <c r="N76" i="8"/>
  <c r="B76" i="10"/>
  <c r="I76" i="10"/>
  <c r="K75" i="9"/>
  <c r="F75" i="10"/>
  <c r="O75" i="8"/>
  <c r="C75" i="10"/>
  <c r="J75" i="10"/>
  <c r="J75" i="9"/>
  <c r="E75" i="10"/>
  <c r="N75" i="8"/>
  <c r="B75" i="10"/>
  <c r="I75" i="10"/>
  <c r="K74" i="9"/>
  <c r="F74" i="10"/>
  <c r="O74" i="8"/>
  <c r="C74" i="10"/>
  <c r="J74" i="10"/>
  <c r="J74" i="9"/>
  <c r="E74" i="10"/>
  <c r="N74" i="8"/>
  <c r="B74" i="10"/>
  <c r="I74" i="10"/>
  <c r="K73" i="9"/>
  <c r="F73" i="10"/>
  <c r="O73" i="8"/>
  <c r="C73" i="10"/>
  <c r="J73" i="10"/>
  <c r="J73" i="9"/>
  <c r="E73" i="10"/>
  <c r="N73" i="8"/>
  <c r="B73" i="10"/>
  <c r="I73" i="10"/>
  <c r="K72" i="9"/>
  <c r="F72" i="10"/>
  <c r="O72" i="8"/>
  <c r="C72" i="10"/>
  <c r="J72" i="10"/>
  <c r="J72" i="9"/>
  <c r="E72" i="10"/>
  <c r="N72" i="8"/>
  <c r="B72" i="10"/>
  <c r="I72" i="10"/>
  <c r="K71" i="9"/>
  <c r="F71" i="10"/>
  <c r="O71" i="8"/>
  <c r="C71" i="10"/>
  <c r="J71" i="10"/>
  <c r="J71" i="9"/>
  <c r="E71" i="10"/>
  <c r="N71" i="8"/>
  <c r="B71" i="10"/>
  <c r="I71" i="10"/>
  <c r="K70" i="9"/>
  <c r="F70" i="10"/>
  <c r="O70" i="8"/>
  <c r="C70" i="10"/>
  <c r="J70" i="10"/>
  <c r="J70" i="9"/>
  <c r="E70" i="10"/>
  <c r="N70" i="8"/>
  <c r="B70" i="10"/>
  <c r="I70" i="10"/>
  <c r="K69" i="9"/>
  <c r="F69" i="10"/>
  <c r="O69" i="8"/>
  <c r="C69" i="10"/>
  <c r="J69" i="10"/>
  <c r="J69" i="9"/>
  <c r="E69" i="10"/>
  <c r="N69" i="8"/>
  <c r="B69" i="10"/>
  <c r="I69" i="10"/>
  <c r="K68" i="9"/>
  <c r="F68" i="10"/>
  <c r="O68" i="8"/>
  <c r="C68" i="10"/>
  <c r="J68" i="10"/>
  <c r="J68" i="9"/>
  <c r="E68" i="10"/>
  <c r="N68" i="8"/>
  <c r="B68" i="10"/>
  <c r="I68" i="10"/>
  <c r="K67" i="9"/>
  <c r="F67" i="10"/>
  <c r="O67" i="8"/>
  <c r="C67" i="10"/>
  <c r="J67" i="10"/>
  <c r="J67" i="9"/>
  <c r="E67" i="10"/>
  <c r="N67" i="8"/>
  <c r="B67" i="10"/>
  <c r="I67" i="10"/>
  <c r="K66" i="9"/>
  <c r="F66" i="10"/>
  <c r="O66" i="8"/>
  <c r="C66" i="10"/>
  <c r="J66" i="10"/>
  <c r="J66" i="9"/>
  <c r="E66" i="10"/>
  <c r="N66" i="8"/>
  <c r="B66" i="10"/>
  <c r="I66" i="10"/>
  <c r="K65" i="9"/>
  <c r="F65" i="10"/>
  <c r="O65" i="8"/>
  <c r="C65" i="10"/>
  <c r="J65" i="10"/>
  <c r="J65" i="9"/>
  <c r="E65" i="10"/>
  <c r="N65" i="8"/>
  <c r="B65" i="10"/>
  <c r="I65" i="10"/>
  <c r="K64" i="9"/>
  <c r="F64" i="10"/>
  <c r="O64" i="8"/>
  <c r="C64" i="10"/>
  <c r="J64" i="10"/>
  <c r="J64" i="9"/>
  <c r="E64" i="10"/>
  <c r="N64" i="8"/>
  <c r="B64" i="10"/>
  <c r="I64" i="10"/>
  <c r="K63" i="9"/>
  <c r="F63" i="10"/>
  <c r="O63" i="8"/>
  <c r="C63" i="10"/>
  <c r="J63" i="10"/>
  <c r="J63" i="9"/>
  <c r="E63" i="10"/>
  <c r="N63" i="8"/>
  <c r="B63" i="10"/>
  <c r="I63" i="10"/>
  <c r="K62" i="9"/>
  <c r="F62" i="10"/>
  <c r="O62" i="8"/>
  <c r="C62" i="10"/>
  <c r="J62" i="10"/>
  <c r="J62" i="9"/>
  <c r="E62" i="10"/>
  <c r="N62" i="8"/>
  <c r="B62" i="10"/>
  <c r="I62" i="10"/>
  <c r="K61" i="9"/>
  <c r="F61" i="10"/>
  <c r="O61" i="8"/>
  <c r="C61" i="10"/>
  <c r="J61" i="10"/>
  <c r="J61" i="9"/>
  <c r="E61" i="10"/>
  <c r="N61" i="8"/>
  <c r="B61" i="10"/>
  <c r="I61" i="10"/>
  <c r="K60" i="9"/>
  <c r="F60" i="10"/>
  <c r="O60" i="8"/>
  <c r="C60" i="10"/>
  <c r="J60" i="10"/>
  <c r="J60" i="9"/>
  <c r="E60" i="10"/>
  <c r="N60" i="8"/>
  <c r="B60" i="10"/>
  <c r="I60" i="10"/>
  <c r="K59" i="9"/>
  <c r="F59" i="10"/>
  <c r="O59" i="8"/>
  <c r="C59" i="10"/>
  <c r="J59" i="10"/>
  <c r="J59" i="9"/>
  <c r="E59" i="10"/>
  <c r="N59" i="8"/>
  <c r="B59" i="10"/>
  <c r="I59" i="10"/>
  <c r="K58" i="9"/>
  <c r="F58" i="10"/>
  <c r="O58" i="8"/>
  <c r="C58" i="10"/>
  <c r="J58" i="10"/>
  <c r="J58" i="9"/>
  <c r="E58" i="10"/>
  <c r="N58" i="8"/>
  <c r="B58" i="10"/>
  <c r="I58" i="10"/>
  <c r="K57" i="9"/>
  <c r="F57" i="10"/>
  <c r="O57" i="8"/>
  <c r="C57" i="10"/>
  <c r="J57" i="10"/>
  <c r="J57" i="9"/>
  <c r="E57" i="10"/>
  <c r="N57" i="8"/>
  <c r="B57" i="10"/>
  <c r="I57" i="10"/>
  <c r="K56" i="9"/>
  <c r="F56" i="10"/>
  <c r="O56" i="8"/>
  <c r="C56" i="10"/>
  <c r="J56" i="10"/>
  <c r="J56" i="9"/>
  <c r="E56" i="10"/>
  <c r="N56" i="8"/>
  <c r="B56" i="10"/>
  <c r="I56" i="10"/>
  <c r="K55" i="9"/>
  <c r="F55" i="10"/>
  <c r="O55" i="8"/>
  <c r="C55" i="10"/>
  <c r="J55" i="10"/>
  <c r="J55" i="9"/>
  <c r="E55" i="10"/>
  <c r="N55" i="8"/>
  <c r="B55" i="10"/>
  <c r="I55" i="10"/>
  <c r="K54" i="9"/>
  <c r="F54" i="10"/>
  <c r="O54" i="8"/>
  <c r="C54" i="10"/>
  <c r="J54" i="10"/>
  <c r="J54" i="9"/>
  <c r="E54" i="10"/>
  <c r="N54" i="8"/>
  <c r="B54" i="10"/>
  <c r="I54" i="10"/>
  <c r="K53" i="9"/>
  <c r="F53" i="10"/>
  <c r="O53" i="8"/>
  <c r="C53" i="10"/>
  <c r="J53" i="10"/>
  <c r="J53" i="9"/>
  <c r="E53" i="10"/>
  <c r="N53" i="8"/>
  <c r="B53" i="10"/>
  <c r="I53" i="10"/>
  <c r="K52" i="9"/>
  <c r="F52" i="10"/>
  <c r="O52" i="8"/>
  <c r="C52" i="10"/>
  <c r="J52" i="10"/>
  <c r="J52" i="9"/>
  <c r="E52" i="10"/>
  <c r="N52" i="8"/>
  <c r="B52" i="10"/>
  <c r="I52" i="10"/>
  <c r="K51" i="9"/>
  <c r="F51" i="10"/>
  <c r="O51" i="8"/>
  <c r="C51" i="10"/>
  <c r="J51" i="10"/>
  <c r="J51" i="9"/>
  <c r="E51" i="10"/>
  <c r="N51" i="8"/>
  <c r="B51" i="10"/>
  <c r="I51" i="10"/>
  <c r="K50" i="9"/>
  <c r="F50" i="10"/>
  <c r="O50" i="8"/>
  <c r="C50" i="10"/>
  <c r="J50" i="10"/>
  <c r="J50" i="9"/>
  <c r="E50" i="10"/>
  <c r="N50" i="8"/>
  <c r="B50" i="10"/>
  <c r="I50" i="10"/>
  <c r="K49" i="9"/>
  <c r="F49" i="10"/>
  <c r="O49" i="8"/>
  <c r="C49" i="10"/>
  <c r="J49" i="10"/>
  <c r="J49" i="9"/>
  <c r="E49" i="10"/>
  <c r="N49" i="8"/>
  <c r="B49" i="10"/>
  <c r="I49" i="10"/>
  <c r="K48" i="9"/>
  <c r="F48" i="10"/>
  <c r="O48" i="8"/>
  <c r="C48" i="10"/>
  <c r="J48" i="10"/>
  <c r="J48" i="9"/>
  <c r="E48" i="10"/>
  <c r="N48" i="8"/>
  <c r="B48" i="10"/>
  <c r="I48" i="10"/>
  <c r="K47" i="9"/>
  <c r="F47" i="10"/>
  <c r="O47" i="8"/>
  <c r="C47" i="10"/>
  <c r="J47" i="10"/>
  <c r="J47" i="9"/>
  <c r="E47" i="10"/>
  <c r="N47" i="8"/>
  <c r="B47" i="10"/>
  <c r="I47" i="10"/>
  <c r="K46" i="9"/>
  <c r="F46" i="10"/>
  <c r="O46" i="8"/>
  <c r="C46" i="10"/>
  <c r="J46" i="10"/>
  <c r="J46" i="9"/>
  <c r="E46" i="10"/>
  <c r="N46" i="8"/>
  <c r="B46" i="10"/>
  <c r="I46" i="10"/>
  <c r="K45" i="9"/>
  <c r="F45" i="10"/>
  <c r="O45" i="8"/>
  <c r="C45" i="10"/>
  <c r="J45" i="10"/>
  <c r="J45" i="9"/>
  <c r="E45" i="10"/>
  <c r="N45" i="8"/>
  <c r="B45" i="10"/>
  <c r="I45" i="10"/>
  <c r="K44" i="9"/>
  <c r="F44" i="10"/>
  <c r="O44" i="8"/>
  <c r="C44" i="10"/>
  <c r="J44" i="10"/>
  <c r="J44" i="9"/>
  <c r="E44" i="10"/>
  <c r="N44" i="8"/>
  <c r="B44" i="10"/>
  <c r="I44" i="10"/>
  <c r="K43" i="9"/>
  <c r="F43" i="10"/>
  <c r="O43" i="8"/>
  <c r="C43" i="10"/>
  <c r="J43" i="10"/>
  <c r="J43" i="9"/>
  <c r="E43" i="10"/>
  <c r="N43" i="8"/>
  <c r="B43" i="10"/>
  <c r="I43" i="10"/>
  <c r="K42" i="9"/>
  <c r="F42" i="10"/>
  <c r="O42" i="8"/>
  <c r="C42" i="10"/>
  <c r="J42" i="10"/>
  <c r="J42" i="9"/>
  <c r="E42" i="10"/>
  <c r="N42" i="8"/>
  <c r="B42" i="10"/>
  <c r="I42" i="10"/>
  <c r="K41" i="9"/>
  <c r="F41" i="10"/>
  <c r="O41" i="8"/>
  <c r="C41" i="10"/>
  <c r="J41" i="10"/>
  <c r="J41" i="9"/>
  <c r="E41" i="10"/>
  <c r="N41" i="8"/>
  <c r="B41" i="10"/>
  <c r="I41" i="10"/>
  <c r="K40" i="9"/>
  <c r="F40" i="10"/>
  <c r="O40" i="8"/>
  <c r="C40" i="10"/>
  <c r="J40" i="10"/>
  <c r="J40" i="9"/>
  <c r="E40" i="10"/>
  <c r="N40" i="8"/>
  <c r="B40" i="10"/>
  <c r="I40" i="10"/>
  <c r="K39" i="9"/>
  <c r="F39" i="10"/>
  <c r="O39" i="8"/>
  <c r="C39" i="10"/>
  <c r="J39" i="10"/>
  <c r="J39" i="9"/>
  <c r="E39" i="10"/>
  <c r="N39" i="8"/>
  <c r="B39" i="10"/>
  <c r="I39" i="10"/>
  <c r="K38" i="9"/>
  <c r="F38" i="10"/>
  <c r="O38" i="8"/>
  <c r="C38" i="10"/>
  <c r="J38" i="10"/>
  <c r="J38" i="9"/>
  <c r="E38" i="10"/>
  <c r="N38" i="8"/>
  <c r="B38" i="10"/>
  <c r="I38" i="10"/>
  <c r="K37" i="9"/>
  <c r="F37" i="10"/>
  <c r="O37" i="8"/>
  <c r="C37" i="10"/>
  <c r="J37" i="10"/>
  <c r="J37" i="9"/>
  <c r="E37" i="10"/>
  <c r="N37" i="8"/>
  <c r="B37" i="10"/>
  <c r="I37" i="10"/>
  <c r="K36" i="9"/>
  <c r="F36" i="10"/>
  <c r="O36" i="8"/>
  <c r="C36" i="10"/>
  <c r="J36" i="10"/>
  <c r="J36" i="9"/>
  <c r="E36" i="10"/>
  <c r="N36" i="8"/>
  <c r="B36" i="10"/>
  <c r="I36" i="10"/>
  <c r="K35" i="9"/>
  <c r="F35" i="10"/>
  <c r="O35" i="8"/>
  <c r="C35" i="10"/>
  <c r="J35" i="10"/>
  <c r="J35" i="9"/>
  <c r="E35" i="10"/>
  <c r="N35" i="8"/>
  <c r="B35" i="10"/>
  <c r="I35" i="10"/>
  <c r="K34" i="9"/>
  <c r="F34" i="10"/>
  <c r="O34" i="8"/>
  <c r="C34" i="10"/>
  <c r="J34" i="10"/>
  <c r="J34" i="9"/>
  <c r="E34" i="10"/>
  <c r="N34" i="8"/>
  <c r="B34" i="10"/>
  <c r="I34" i="10"/>
  <c r="K33" i="9"/>
  <c r="F33" i="10"/>
  <c r="O33" i="8"/>
  <c r="C33" i="10"/>
  <c r="J33" i="10"/>
  <c r="J33" i="9"/>
  <c r="E33" i="10"/>
  <c r="N33" i="8"/>
  <c r="B33" i="10"/>
  <c r="I33" i="10"/>
  <c r="K32" i="9"/>
  <c r="F32" i="10"/>
  <c r="O32" i="8"/>
  <c r="C32" i="10"/>
  <c r="J32" i="10"/>
  <c r="J32" i="9"/>
  <c r="E32" i="10"/>
  <c r="N32" i="8"/>
  <c r="B32" i="10"/>
  <c r="I32" i="10"/>
  <c r="K31" i="9"/>
  <c r="F31" i="10"/>
  <c r="O31" i="8"/>
  <c r="C31" i="10"/>
  <c r="J31" i="10"/>
  <c r="J31" i="9"/>
  <c r="E31" i="10"/>
  <c r="N31" i="8"/>
  <c r="B31" i="10"/>
  <c r="I31" i="10"/>
  <c r="K30" i="9"/>
  <c r="F30" i="10"/>
  <c r="O30" i="8"/>
  <c r="C30" i="10"/>
  <c r="J30" i="10"/>
  <c r="J30" i="9"/>
  <c r="E30" i="10"/>
  <c r="N30" i="8"/>
  <c r="B30" i="10"/>
  <c r="I30" i="10"/>
  <c r="K29" i="9"/>
  <c r="F29" i="10"/>
  <c r="O29" i="8"/>
  <c r="C29" i="10"/>
  <c r="J29" i="10"/>
  <c r="J29" i="9"/>
  <c r="E29" i="10"/>
  <c r="N29" i="8"/>
  <c r="B29" i="10"/>
  <c r="I29" i="10"/>
  <c r="K28" i="9"/>
  <c r="F28" i="10"/>
  <c r="O28" i="8"/>
  <c r="C28" i="10"/>
  <c r="J28" i="10"/>
  <c r="J28" i="9"/>
  <c r="E28" i="10"/>
  <c r="N28" i="8"/>
  <c r="B28" i="10"/>
  <c r="I28" i="10"/>
  <c r="K27" i="9"/>
  <c r="F27" i="10"/>
  <c r="O27" i="8"/>
  <c r="C27" i="10"/>
  <c r="J27" i="10"/>
  <c r="J27" i="9"/>
  <c r="E27" i="10"/>
  <c r="N27" i="8"/>
  <c r="B27" i="10"/>
  <c r="I27" i="10"/>
  <c r="K26" i="9"/>
  <c r="F26" i="10"/>
  <c r="O26" i="8"/>
  <c r="C26" i="10"/>
  <c r="J26" i="10"/>
  <c r="J26" i="9"/>
  <c r="E26" i="10"/>
  <c r="N26" i="8"/>
  <c r="B26" i="10"/>
  <c r="I26" i="10"/>
  <c r="K25" i="9"/>
  <c r="F25" i="10"/>
  <c r="O25" i="8"/>
  <c r="C25" i="10"/>
  <c r="J25" i="10"/>
  <c r="J25" i="9"/>
  <c r="E25" i="10"/>
  <c r="N25" i="8"/>
  <c r="B25" i="10"/>
  <c r="I25" i="10"/>
  <c r="K24" i="9"/>
  <c r="F24" i="10"/>
  <c r="O24" i="8"/>
  <c r="C24" i="10"/>
  <c r="J24" i="10"/>
  <c r="J24" i="9"/>
  <c r="E24" i="10"/>
  <c r="N24" i="8"/>
  <c r="B24" i="10"/>
  <c r="I24" i="10"/>
  <c r="K23" i="9"/>
  <c r="F23" i="10"/>
  <c r="O23" i="8"/>
  <c r="C23" i="10"/>
  <c r="J23" i="10"/>
  <c r="J23" i="9"/>
  <c r="E23" i="10"/>
  <c r="N23" i="8"/>
  <c r="B23" i="10"/>
  <c r="I23" i="10"/>
  <c r="K22" i="9"/>
  <c r="F22" i="10"/>
  <c r="O22" i="8"/>
  <c r="C22" i="10"/>
  <c r="J22" i="10"/>
  <c r="J22" i="9"/>
  <c r="E22" i="10"/>
  <c r="N22" i="8"/>
  <c r="B22" i="10"/>
  <c r="I22" i="10"/>
  <c r="K21" i="9"/>
  <c r="F21" i="10"/>
  <c r="O21" i="8"/>
  <c r="C21" i="10"/>
  <c r="J21" i="10"/>
  <c r="J21" i="9"/>
  <c r="E21" i="10"/>
  <c r="N21" i="8"/>
  <c r="B21" i="10"/>
  <c r="I21" i="10"/>
  <c r="K20" i="9"/>
  <c r="F20" i="10"/>
  <c r="O20" i="8"/>
  <c r="C20" i="10"/>
  <c r="J20" i="10"/>
  <c r="J20" i="9"/>
  <c r="E20" i="10"/>
  <c r="N20" i="8"/>
  <c r="B20" i="10"/>
  <c r="I20" i="10"/>
  <c r="K19" i="9"/>
  <c r="F19" i="10"/>
  <c r="O19" i="8"/>
  <c r="C19" i="10"/>
  <c r="J19" i="10"/>
  <c r="J19" i="9"/>
  <c r="E19" i="10"/>
  <c r="N19" i="8"/>
  <c r="B19" i="10"/>
  <c r="I19" i="10"/>
  <c r="K18" i="9"/>
  <c r="F18" i="10"/>
  <c r="O18" i="8"/>
  <c r="C18" i="10"/>
  <c r="J18" i="10"/>
  <c r="J18" i="9"/>
  <c r="E18" i="10"/>
  <c r="N18" i="8"/>
  <c r="B18" i="10"/>
  <c r="I18" i="10"/>
  <c r="K17" i="9"/>
  <c r="F17" i="10"/>
  <c r="O17" i="8"/>
  <c r="C17" i="10"/>
  <c r="J17" i="10"/>
  <c r="J17" i="9"/>
  <c r="E17" i="10"/>
  <c r="N17" i="8"/>
  <c r="B17" i="10"/>
  <c r="I17" i="10"/>
  <c r="K16" i="9"/>
  <c r="F16" i="10"/>
  <c r="O16" i="8"/>
  <c r="C16" i="10"/>
  <c r="J16" i="10"/>
  <c r="J16" i="9"/>
  <c r="E16" i="10"/>
  <c r="N16" i="8"/>
  <c r="B16" i="10"/>
  <c r="I16" i="10"/>
  <c r="K15" i="9"/>
  <c r="F15" i="10"/>
  <c r="O15" i="8"/>
  <c r="C15" i="10"/>
  <c r="J15" i="10"/>
  <c r="J15" i="9"/>
  <c r="E15" i="10"/>
  <c r="N15" i="8"/>
  <c r="B15" i="10"/>
  <c r="I15" i="10"/>
  <c r="K14" i="9"/>
  <c r="F14" i="10"/>
  <c r="O14" i="8"/>
  <c r="C14" i="10"/>
  <c r="J14" i="10"/>
  <c r="J14" i="9"/>
  <c r="E14" i="10"/>
  <c r="N14" i="8"/>
  <c r="B14" i="10"/>
  <c r="I14" i="10"/>
  <c r="K13" i="9"/>
  <c r="F13" i="10"/>
  <c r="O13" i="8"/>
  <c r="C13" i="10"/>
  <c r="J13" i="10"/>
  <c r="J13" i="9"/>
  <c r="E13" i="10"/>
  <c r="N13" i="8"/>
  <c r="B13" i="10"/>
  <c r="I13" i="10"/>
  <c r="K12" i="9"/>
  <c r="F12" i="10"/>
  <c r="O12" i="8"/>
  <c r="C12" i="10"/>
  <c r="J12" i="10"/>
  <c r="J12" i="9"/>
  <c r="E12" i="10"/>
  <c r="N12" i="8"/>
  <c r="B12" i="10"/>
  <c r="I12" i="10"/>
  <c r="K11" i="9"/>
  <c r="F11" i="10"/>
  <c r="O11" i="8"/>
  <c r="C11" i="10"/>
  <c r="J11" i="10"/>
  <c r="J11" i="9"/>
  <c r="E11" i="10"/>
  <c r="N11" i="8"/>
  <c r="B11" i="10"/>
  <c r="I11" i="10"/>
  <c r="K10" i="9"/>
  <c r="F10" i="10"/>
  <c r="O10" i="8"/>
  <c r="C10" i="10"/>
  <c r="J10" i="10"/>
  <c r="J10" i="9"/>
  <c r="E10" i="10"/>
  <c r="N10" i="8"/>
  <c r="B10" i="10"/>
  <c r="I10" i="10"/>
  <c r="K9" i="9"/>
  <c r="F9" i="10"/>
  <c r="O9" i="8"/>
  <c r="C9" i="10"/>
  <c r="J9" i="10"/>
  <c r="J9" i="9"/>
  <c r="E9" i="10"/>
  <c r="N9" i="8"/>
  <c r="B9" i="10"/>
  <c r="I9" i="10"/>
  <c r="K8" i="9"/>
  <c r="F8" i="10"/>
  <c r="O8" i="8"/>
  <c r="C8" i="10"/>
  <c r="J8" i="10"/>
  <c r="J8" i="9"/>
  <c r="E8" i="10"/>
  <c r="N8" i="8"/>
  <c r="B8" i="10"/>
  <c r="I8" i="10"/>
  <c r="K7" i="9"/>
  <c r="F7" i="10"/>
  <c r="O7" i="8"/>
  <c r="C7" i="10"/>
  <c r="J7" i="10"/>
  <c r="J7" i="9"/>
  <c r="E7" i="10"/>
  <c r="N7" i="8"/>
  <c r="B7" i="10"/>
  <c r="I7" i="10"/>
  <c r="K6" i="9"/>
  <c r="F6" i="10"/>
  <c r="O6" i="8"/>
  <c r="C6" i="10"/>
  <c r="J6" i="10"/>
  <c r="J6" i="9"/>
  <c r="E6" i="10"/>
  <c r="N6" i="8"/>
  <c r="B6" i="10"/>
  <c r="I6" i="10"/>
  <c r="K5" i="9"/>
  <c r="F5" i="10"/>
  <c r="O5" i="8"/>
  <c r="C5" i="10"/>
  <c r="J5" i="10"/>
  <c r="J5" i="9"/>
  <c r="E5" i="10"/>
  <c r="N5" i="8"/>
  <c r="B5" i="10"/>
  <c r="I5" i="10"/>
  <c r="E95" i="9"/>
  <c r="F95" i="9"/>
  <c r="I95" i="9"/>
  <c r="D95" i="10"/>
  <c r="E94" i="9"/>
  <c r="F94" i="9"/>
  <c r="I94" i="9"/>
  <c r="D94" i="10"/>
  <c r="E93" i="9"/>
  <c r="F93" i="9"/>
  <c r="I93" i="9"/>
  <c r="D93" i="10"/>
  <c r="E92" i="9"/>
  <c r="F92" i="9"/>
  <c r="I92" i="9"/>
  <c r="D92" i="10"/>
  <c r="E91" i="9"/>
  <c r="F91" i="9"/>
  <c r="I91" i="9"/>
  <c r="D91" i="10"/>
  <c r="E90" i="9"/>
  <c r="F90" i="9"/>
  <c r="I90" i="9"/>
  <c r="D90" i="10"/>
  <c r="E89" i="9"/>
  <c r="F89" i="9"/>
  <c r="I89" i="9"/>
  <c r="D89" i="10"/>
  <c r="E88" i="9"/>
  <c r="F88" i="9"/>
  <c r="I88" i="9"/>
  <c r="D88" i="10"/>
  <c r="E87" i="9"/>
  <c r="F87" i="9"/>
  <c r="I87" i="9"/>
  <c r="D87" i="10"/>
  <c r="E86" i="9"/>
  <c r="F86" i="9"/>
  <c r="I86" i="9"/>
  <c r="D86" i="10"/>
  <c r="E85" i="9"/>
  <c r="F85" i="9"/>
  <c r="I85" i="9"/>
  <c r="D85" i="10"/>
  <c r="E84" i="9"/>
  <c r="F84" i="9"/>
  <c r="I84" i="9"/>
  <c r="D84" i="10"/>
  <c r="E83" i="9"/>
  <c r="F83" i="9"/>
  <c r="I83" i="9"/>
  <c r="D83" i="10"/>
  <c r="E82" i="9"/>
  <c r="F82" i="9"/>
  <c r="I82" i="9"/>
  <c r="D82" i="10"/>
  <c r="E81" i="9"/>
  <c r="F81" i="9"/>
  <c r="I81" i="9"/>
  <c r="D81" i="10"/>
  <c r="E80" i="9"/>
  <c r="F80" i="9"/>
  <c r="I80" i="9"/>
  <c r="D80" i="10"/>
  <c r="E79" i="9"/>
  <c r="F79" i="9"/>
  <c r="I79" i="9"/>
  <c r="D79" i="10"/>
  <c r="E78" i="9"/>
  <c r="F78" i="9"/>
  <c r="I78" i="9"/>
  <c r="D78" i="10"/>
  <c r="E77" i="9"/>
  <c r="F77" i="9"/>
  <c r="I77" i="9"/>
  <c r="D77" i="10"/>
  <c r="E76" i="9"/>
  <c r="F76" i="9"/>
  <c r="I76" i="9"/>
  <c r="D76" i="10"/>
  <c r="E75" i="9"/>
  <c r="F75" i="9"/>
  <c r="I75" i="9"/>
  <c r="D75" i="10"/>
  <c r="E74" i="9"/>
  <c r="F74" i="9"/>
  <c r="I74" i="9"/>
  <c r="D74" i="10"/>
  <c r="E73" i="9"/>
  <c r="F73" i="9"/>
  <c r="I73" i="9"/>
  <c r="D73" i="10"/>
  <c r="E72" i="9"/>
  <c r="F72" i="9"/>
  <c r="I72" i="9"/>
  <c r="D72" i="10"/>
  <c r="E71" i="9"/>
  <c r="F71" i="9"/>
  <c r="I71" i="9"/>
  <c r="D71" i="10"/>
  <c r="E70" i="9"/>
  <c r="F70" i="9"/>
  <c r="I70" i="9"/>
  <c r="D70" i="10"/>
  <c r="E69" i="9"/>
  <c r="F69" i="9"/>
  <c r="I69" i="9"/>
  <c r="D69" i="10"/>
  <c r="E68" i="9"/>
  <c r="F68" i="9"/>
  <c r="I68" i="9"/>
  <c r="D68" i="10"/>
  <c r="E67" i="9"/>
  <c r="F67" i="9"/>
  <c r="I67" i="9"/>
  <c r="D67" i="10"/>
  <c r="E66" i="9"/>
  <c r="F66" i="9"/>
  <c r="I66" i="9"/>
  <c r="D66" i="10"/>
  <c r="E65" i="9"/>
  <c r="F65" i="9"/>
  <c r="I65" i="9"/>
  <c r="D65" i="10"/>
  <c r="E64" i="9"/>
  <c r="F64" i="9"/>
  <c r="I64" i="9"/>
  <c r="D64" i="10"/>
  <c r="E63" i="9"/>
  <c r="F63" i="9"/>
  <c r="I63" i="9"/>
  <c r="D63" i="10"/>
  <c r="E62" i="9"/>
  <c r="F62" i="9"/>
  <c r="I62" i="9"/>
  <c r="D62" i="10"/>
  <c r="E61" i="9"/>
  <c r="F61" i="9"/>
  <c r="I61" i="9"/>
  <c r="D61" i="10"/>
  <c r="E60" i="9"/>
  <c r="F60" i="9"/>
  <c r="I60" i="9"/>
  <c r="D60" i="10"/>
  <c r="E59" i="9"/>
  <c r="F59" i="9"/>
  <c r="I59" i="9"/>
  <c r="D59" i="10"/>
  <c r="E58" i="9"/>
  <c r="F58" i="9"/>
  <c r="I58" i="9"/>
  <c r="D58" i="10"/>
  <c r="E57" i="9"/>
  <c r="F57" i="9"/>
  <c r="I57" i="9"/>
  <c r="D57" i="10"/>
  <c r="E56" i="9"/>
  <c r="F56" i="9"/>
  <c r="I56" i="9"/>
  <c r="D56" i="10"/>
  <c r="E55" i="9"/>
  <c r="F55" i="9"/>
  <c r="I55" i="9"/>
  <c r="D55" i="10"/>
  <c r="E54" i="9"/>
  <c r="F54" i="9"/>
  <c r="I54" i="9"/>
  <c r="D54" i="10"/>
  <c r="E53" i="9"/>
  <c r="F53" i="9"/>
  <c r="I53" i="9"/>
  <c r="D53" i="10"/>
  <c r="E52" i="9"/>
  <c r="F52" i="9"/>
  <c r="I52" i="9"/>
  <c r="D52" i="10"/>
  <c r="E51" i="9"/>
  <c r="F51" i="9"/>
  <c r="I51" i="9"/>
  <c r="D51" i="10"/>
  <c r="E50" i="9"/>
  <c r="F50" i="9"/>
  <c r="I50" i="9"/>
  <c r="D50" i="10"/>
  <c r="E49" i="9"/>
  <c r="F49" i="9"/>
  <c r="I49" i="9"/>
  <c r="D49" i="10"/>
  <c r="E48" i="9"/>
  <c r="F48" i="9"/>
  <c r="I48" i="9"/>
  <c r="D48" i="10"/>
  <c r="E47" i="9"/>
  <c r="F47" i="9"/>
  <c r="I47" i="9"/>
  <c r="D47" i="10"/>
  <c r="E46" i="9"/>
  <c r="F46" i="9"/>
  <c r="I46" i="9"/>
  <c r="D46" i="10"/>
  <c r="E45" i="9"/>
  <c r="F45" i="9"/>
  <c r="I45" i="9"/>
  <c r="D45" i="10"/>
  <c r="E44" i="9"/>
  <c r="F44" i="9"/>
  <c r="I44" i="9"/>
  <c r="D44" i="10"/>
  <c r="E43" i="9"/>
  <c r="F43" i="9"/>
  <c r="I43" i="9"/>
  <c r="D43" i="10"/>
  <c r="E42" i="9"/>
  <c r="F42" i="9"/>
  <c r="I42" i="9"/>
  <c r="D42" i="10"/>
  <c r="E41" i="9"/>
  <c r="F41" i="9"/>
  <c r="I41" i="9"/>
  <c r="D41" i="10"/>
  <c r="E40" i="9"/>
  <c r="F40" i="9"/>
  <c r="I40" i="9"/>
  <c r="D40" i="10"/>
  <c r="E39" i="9"/>
  <c r="F39" i="9"/>
  <c r="I39" i="9"/>
  <c r="D39" i="10"/>
  <c r="E38" i="9"/>
  <c r="F38" i="9"/>
  <c r="I38" i="9"/>
  <c r="D38" i="10"/>
  <c r="E37" i="9"/>
  <c r="F37" i="9"/>
  <c r="I37" i="9"/>
  <c r="D37" i="10"/>
  <c r="E36" i="9"/>
  <c r="F36" i="9"/>
  <c r="I36" i="9"/>
  <c r="D36" i="10"/>
  <c r="E35" i="9"/>
  <c r="F35" i="9"/>
  <c r="I35" i="9"/>
  <c r="D35" i="10"/>
  <c r="E34" i="9"/>
  <c r="F34" i="9"/>
  <c r="I34" i="9"/>
  <c r="D34" i="10"/>
  <c r="E33" i="9"/>
  <c r="F33" i="9"/>
  <c r="I33" i="9"/>
  <c r="D33" i="10"/>
  <c r="E32" i="9"/>
  <c r="F32" i="9"/>
  <c r="I32" i="9"/>
  <c r="D32" i="10"/>
  <c r="E31" i="9"/>
  <c r="F31" i="9"/>
  <c r="I31" i="9"/>
  <c r="D31" i="10"/>
  <c r="E30" i="9"/>
  <c r="F30" i="9"/>
  <c r="I30" i="9"/>
  <c r="D30" i="10"/>
  <c r="E29" i="9"/>
  <c r="F29" i="9"/>
  <c r="I29" i="9"/>
  <c r="D29" i="10"/>
  <c r="E28" i="9"/>
  <c r="F28" i="9"/>
  <c r="I28" i="9"/>
  <c r="D28" i="10"/>
  <c r="E27" i="9"/>
  <c r="F27" i="9"/>
  <c r="I27" i="9"/>
  <c r="D27" i="10"/>
  <c r="E26" i="9"/>
  <c r="F26" i="9"/>
  <c r="I26" i="9"/>
  <c r="D26" i="10"/>
  <c r="E25" i="9"/>
  <c r="F25" i="9"/>
  <c r="I25" i="9"/>
  <c r="D25" i="10"/>
  <c r="E24" i="9"/>
  <c r="F24" i="9"/>
  <c r="I24" i="9"/>
  <c r="D24" i="10"/>
  <c r="E23" i="9"/>
  <c r="F23" i="9"/>
  <c r="I23" i="9"/>
  <c r="D23" i="10"/>
  <c r="E22" i="9"/>
  <c r="F22" i="9"/>
  <c r="I22" i="9"/>
  <c r="D22" i="10"/>
  <c r="E21" i="9"/>
  <c r="F21" i="9"/>
  <c r="I21" i="9"/>
  <c r="D21" i="10"/>
  <c r="E20" i="9"/>
  <c r="F20" i="9"/>
  <c r="I20" i="9"/>
  <c r="D20" i="10"/>
  <c r="E19" i="9"/>
  <c r="F19" i="9"/>
  <c r="I19" i="9"/>
  <c r="D19" i="10"/>
  <c r="E18" i="9"/>
  <c r="F18" i="9"/>
  <c r="I18" i="9"/>
  <c r="D18" i="10"/>
  <c r="E17" i="9"/>
  <c r="F17" i="9"/>
  <c r="I17" i="9"/>
  <c r="D17" i="10"/>
  <c r="E16" i="9"/>
  <c r="F16" i="9"/>
  <c r="I16" i="9"/>
  <c r="D16" i="10"/>
  <c r="E15" i="9"/>
  <c r="F15" i="9"/>
  <c r="I15" i="9"/>
  <c r="D15" i="10"/>
  <c r="E14" i="9"/>
  <c r="F14" i="9"/>
  <c r="I14" i="9"/>
  <c r="D14" i="10"/>
  <c r="E13" i="9"/>
  <c r="F13" i="9"/>
  <c r="I13" i="9"/>
  <c r="D13" i="10"/>
  <c r="E12" i="9"/>
  <c r="F12" i="9"/>
  <c r="I12" i="9"/>
  <c r="D12" i="10"/>
  <c r="E11" i="9"/>
  <c r="F11" i="9"/>
  <c r="I11" i="9"/>
  <c r="D11" i="10"/>
  <c r="E10" i="9"/>
  <c r="F10" i="9"/>
  <c r="I10" i="9"/>
  <c r="D10" i="10"/>
  <c r="E9" i="9"/>
  <c r="F9" i="9"/>
  <c r="I9" i="9"/>
  <c r="D9" i="10"/>
  <c r="E8" i="9"/>
  <c r="F8" i="9"/>
  <c r="I8" i="9"/>
  <c r="D8" i="10"/>
  <c r="E7" i="9"/>
  <c r="F7" i="9"/>
  <c r="I7" i="9"/>
  <c r="D7" i="10"/>
  <c r="E6" i="9"/>
  <c r="F6" i="9"/>
  <c r="I6" i="9"/>
  <c r="D6" i="10"/>
  <c r="E5" i="9"/>
  <c r="F5" i="9"/>
  <c r="I5" i="9"/>
  <c r="D5" i="10"/>
  <c r="N5" i="9"/>
  <c r="M5" i="9"/>
  <c r="P5" i="9"/>
  <c r="Z9" i="7"/>
  <c r="Z10" i="7"/>
  <c r="Z11" i="7"/>
  <c r="Z12" i="7"/>
  <c r="Z13" i="7"/>
  <c r="Z14" i="7"/>
  <c r="Z15" i="7"/>
  <c r="Z16" i="7"/>
  <c r="Z17" i="7"/>
  <c r="Z18" i="7"/>
  <c r="Z19" i="7"/>
  <c r="Z20" i="7"/>
  <c r="Z21" i="7"/>
  <c r="Z22" i="7"/>
  <c r="Z23" i="7"/>
  <c r="Z24" i="7"/>
  <c r="Z25" i="7"/>
  <c r="Z26" i="7"/>
  <c r="Z27" i="7"/>
  <c r="Z28" i="7"/>
  <c r="Z29" i="7"/>
  <c r="Z30" i="7"/>
  <c r="Z31" i="7"/>
  <c r="Z32" i="7"/>
  <c r="Z33" i="7"/>
  <c r="Z34" i="7"/>
  <c r="Z35" i="7"/>
  <c r="Z36" i="7"/>
  <c r="Z37" i="7"/>
  <c r="Z38" i="7"/>
  <c r="Z39" i="7"/>
  <c r="Z40" i="7"/>
  <c r="Z41" i="7"/>
  <c r="Z42" i="7"/>
  <c r="Z43" i="7"/>
  <c r="Z44" i="7"/>
  <c r="Z45" i="7"/>
  <c r="Z46" i="7"/>
  <c r="Z47" i="7"/>
  <c r="Z48" i="7"/>
  <c r="Z49" i="7"/>
  <c r="Z50" i="7"/>
  <c r="Z51" i="7"/>
  <c r="Z52" i="7"/>
  <c r="Z53" i="7"/>
  <c r="Z54" i="7"/>
  <c r="Z55" i="7"/>
  <c r="Z56" i="7"/>
  <c r="Z57" i="7"/>
  <c r="Z58" i="7"/>
  <c r="Z59" i="7"/>
  <c r="Z60" i="7"/>
  <c r="Z61" i="7"/>
  <c r="Z62" i="7"/>
  <c r="Z63" i="7"/>
  <c r="Z64" i="7"/>
  <c r="Z65" i="7"/>
  <c r="Z66" i="7"/>
  <c r="Z67" i="7"/>
  <c r="Z68" i="7"/>
  <c r="Z69" i="7"/>
  <c r="Z70" i="7"/>
  <c r="Z71" i="7"/>
  <c r="Z72" i="7"/>
  <c r="Z73" i="7"/>
  <c r="Z74" i="7"/>
  <c r="Z75" i="7"/>
  <c r="Z76" i="7"/>
  <c r="Z77" i="7"/>
  <c r="Z78" i="7"/>
  <c r="Z79" i="7"/>
  <c r="Z80" i="7"/>
  <c r="Z81" i="7"/>
  <c r="Z82" i="7"/>
  <c r="Z83" i="7"/>
  <c r="Z84" i="7"/>
  <c r="Z85" i="7"/>
  <c r="Z86" i="7"/>
  <c r="Z87" i="7"/>
  <c r="Z88" i="7"/>
  <c r="Z89" i="7"/>
  <c r="Z90" i="7"/>
  <c r="Z91" i="7"/>
  <c r="Z92" i="7"/>
  <c r="Z93" i="7"/>
  <c r="Z94" i="7"/>
  <c r="Z95" i="7"/>
  <c r="Z96" i="7"/>
  <c r="Z97" i="7"/>
  <c r="L9" i="7"/>
  <c r="M9" i="7"/>
  <c r="L10" i="7"/>
  <c r="M10" i="7"/>
  <c r="L11" i="7"/>
  <c r="M11" i="7"/>
  <c r="L12" i="7"/>
  <c r="M12" i="7"/>
  <c r="L13" i="7"/>
  <c r="M13" i="7"/>
  <c r="L14" i="7"/>
  <c r="M14" i="7"/>
  <c r="L15" i="7"/>
  <c r="M15" i="7"/>
  <c r="L16" i="7"/>
  <c r="M16" i="7"/>
  <c r="L17" i="7"/>
  <c r="M17" i="7"/>
  <c r="L18" i="7"/>
  <c r="M18" i="7"/>
  <c r="L19" i="7"/>
  <c r="M19" i="7"/>
  <c r="L20" i="7"/>
  <c r="M20" i="7"/>
  <c r="L21" i="7"/>
  <c r="M21" i="7"/>
  <c r="L22" i="7"/>
  <c r="M22" i="7"/>
  <c r="L23" i="7"/>
  <c r="M23" i="7"/>
  <c r="L24" i="7"/>
  <c r="M24" i="7"/>
  <c r="L25" i="7"/>
  <c r="M25" i="7"/>
  <c r="L26" i="7"/>
  <c r="M26" i="7"/>
  <c r="L27" i="7"/>
  <c r="M27" i="7"/>
  <c r="L28" i="7"/>
  <c r="M28" i="7"/>
  <c r="L29" i="7"/>
  <c r="M29" i="7"/>
  <c r="L30" i="7"/>
  <c r="M30" i="7"/>
  <c r="L31" i="7"/>
  <c r="M31" i="7"/>
  <c r="L32" i="7"/>
  <c r="M32" i="7"/>
  <c r="L33" i="7"/>
  <c r="M33" i="7"/>
  <c r="L34" i="7"/>
  <c r="M34" i="7"/>
  <c r="L35" i="7"/>
  <c r="M35" i="7"/>
  <c r="L36" i="7"/>
  <c r="M36" i="7"/>
  <c r="L37" i="7"/>
  <c r="M37" i="7"/>
  <c r="L38" i="7"/>
  <c r="M38" i="7"/>
  <c r="L39" i="7"/>
  <c r="M39" i="7"/>
  <c r="L40" i="7"/>
  <c r="M40" i="7"/>
  <c r="L41" i="7"/>
  <c r="M41" i="7"/>
  <c r="L42" i="7"/>
  <c r="M42" i="7"/>
  <c r="L43" i="7"/>
  <c r="M43" i="7"/>
  <c r="L44" i="7"/>
  <c r="M44" i="7"/>
  <c r="L45" i="7"/>
  <c r="M45" i="7"/>
  <c r="L46" i="7"/>
  <c r="M46" i="7"/>
  <c r="L47" i="7"/>
  <c r="M47" i="7"/>
  <c r="L48" i="7"/>
  <c r="M48" i="7"/>
  <c r="L49" i="7"/>
  <c r="M49" i="7"/>
  <c r="L50" i="7"/>
  <c r="M50" i="7"/>
  <c r="L51" i="7"/>
  <c r="M51" i="7"/>
  <c r="L52" i="7"/>
  <c r="M52" i="7"/>
  <c r="L53" i="7"/>
  <c r="M53" i="7"/>
  <c r="L54" i="7"/>
  <c r="M54" i="7"/>
  <c r="L55" i="7"/>
  <c r="M55" i="7"/>
  <c r="L56" i="7"/>
  <c r="M56" i="7"/>
  <c r="L57" i="7"/>
  <c r="M57" i="7"/>
  <c r="L58" i="7"/>
  <c r="M58" i="7"/>
  <c r="L59" i="7"/>
  <c r="M59" i="7"/>
  <c r="L60" i="7"/>
  <c r="M60" i="7"/>
  <c r="L61" i="7"/>
  <c r="M61" i="7"/>
  <c r="L62" i="7"/>
  <c r="M62" i="7"/>
  <c r="L63" i="7"/>
  <c r="M63" i="7"/>
  <c r="L64" i="7"/>
  <c r="M64" i="7"/>
  <c r="L65" i="7"/>
  <c r="M65" i="7"/>
  <c r="L66" i="7"/>
  <c r="M66" i="7"/>
  <c r="L67" i="7"/>
  <c r="M67" i="7"/>
  <c r="L68" i="7"/>
  <c r="M68" i="7"/>
  <c r="L69" i="7"/>
  <c r="M69" i="7"/>
  <c r="L70" i="7"/>
  <c r="M70" i="7"/>
  <c r="L71" i="7"/>
  <c r="M71" i="7"/>
  <c r="L72" i="7"/>
  <c r="M72" i="7"/>
  <c r="L73" i="7"/>
  <c r="M73" i="7"/>
  <c r="L74" i="7"/>
  <c r="M74" i="7"/>
  <c r="L75" i="7"/>
  <c r="M75" i="7"/>
  <c r="L76" i="7"/>
  <c r="M76" i="7"/>
  <c r="L77" i="7"/>
  <c r="M77" i="7"/>
  <c r="L78" i="7"/>
  <c r="M78" i="7"/>
  <c r="L79" i="7"/>
  <c r="M79" i="7"/>
  <c r="L80" i="7"/>
  <c r="M80" i="7"/>
  <c r="L81" i="7"/>
  <c r="M81" i="7"/>
  <c r="L82" i="7"/>
  <c r="M82" i="7"/>
  <c r="L83" i="7"/>
  <c r="M83" i="7"/>
  <c r="L84" i="7"/>
  <c r="M84" i="7"/>
  <c r="L85" i="7"/>
  <c r="M85" i="7"/>
  <c r="L86" i="7"/>
  <c r="M86" i="7"/>
  <c r="L87" i="7"/>
  <c r="M87" i="7"/>
  <c r="L88" i="7"/>
  <c r="M88" i="7"/>
  <c r="L89" i="7"/>
  <c r="M89" i="7"/>
  <c r="L90" i="7"/>
  <c r="M90" i="7"/>
  <c r="L91" i="7"/>
  <c r="M91" i="7"/>
  <c r="L92" i="7"/>
  <c r="M92" i="7"/>
  <c r="L93" i="7"/>
  <c r="M93" i="7"/>
  <c r="L94" i="7"/>
  <c r="M94" i="7"/>
  <c r="L95" i="7"/>
  <c r="M95" i="7"/>
  <c r="AC8" i="7"/>
  <c r="Z8" i="7"/>
  <c r="Z7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DN8" i="7"/>
  <c r="DM8" i="7"/>
  <c r="DL8" i="7"/>
  <c r="DK8" i="7"/>
  <c r="DJ8" i="7"/>
  <c r="DI8" i="7"/>
  <c r="DH8" i="7"/>
  <c r="DG8" i="7"/>
  <c r="DF8" i="7"/>
  <c r="DE8" i="7"/>
  <c r="DD8" i="7"/>
  <c r="DC8" i="7"/>
  <c r="DB8" i="7"/>
  <c r="DA8" i="7"/>
  <c r="CZ8" i="7"/>
  <c r="CY8" i="7"/>
  <c r="CX8" i="7"/>
  <c r="CW8" i="7"/>
  <c r="CV8" i="7"/>
  <c r="CU8" i="7"/>
  <c r="CT8" i="7"/>
  <c r="CS8" i="7"/>
  <c r="CR8" i="7"/>
  <c r="CQ8" i="7"/>
  <c r="CP8" i="7"/>
  <c r="CO8" i="7"/>
  <c r="CN8" i="7"/>
  <c r="CM8" i="7"/>
  <c r="CL8" i="7"/>
  <c r="CK8" i="7"/>
  <c r="CJ8" i="7"/>
  <c r="CI8" i="7"/>
  <c r="CH8" i="7"/>
  <c r="CG8" i="7"/>
  <c r="CF8" i="7"/>
  <c r="CE8" i="7"/>
  <c r="CD8" i="7"/>
  <c r="CC8" i="7"/>
  <c r="CB8" i="7"/>
  <c r="CA8" i="7"/>
  <c r="BZ8" i="7"/>
  <c r="BY8" i="7"/>
  <c r="BX8" i="7"/>
  <c r="BW8" i="7"/>
  <c r="BV8" i="7"/>
  <c r="BU8" i="7"/>
  <c r="BT8" i="7"/>
  <c r="BS8" i="7"/>
  <c r="BR8" i="7"/>
  <c r="BQ8" i="7"/>
  <c r="BP8" i="7"/>
  <c r="BO8" i="7"/>
  <c r="BN8" i="7"/>
  <c r="BM8" i="7"/>
  <c r="BL8" i="7"/>
  <c r="BK8" i="7"/>
  <c r="BJ8" i="7"/>
  <c r="BI8" i="7"/>
  <c r="BH8" i="7"/>
  <c r="BG8" i="7"/>
  <c r="BF8" i="7"/>
  <c r="BE8" i="7"/>
  <c r="BD8" i="7"/>
  <c r="BC8" i="7"/>
  <c r="BB8" i="7"/>
  <c r="BA8" i="7"/>
  <c r="AZ8" i="7"/>
  <c r="AY8" i="7"/>
  <c r="AX8" i="7"/>
  <c r="AW8" i="7"/>
  <c r="AV8" i="7"/>
  <c r="AU8" i="7"/>
  <c r="AT8" i="7"/>
  <c r="AS8" i="7"/>
  <c r="AR8" i="7"/>
  <c r="AQ8" i="7"/>
  <c r="AP8" i="7"/>
  <c r="AO8" i="7"/>
  <c r="AN8" i="7"/>
  <c r="AM8" i="7"/>
  <c r="AL8" i="7"/>
  <c r="AK8" i="7"/>
  <c r="AJ8" i="7"/>
  <c r="AI8" i="7"/>
  <c r="AH8" i="7"/>
  <c r="AG8" i="7"/>
  <c r="AF8" i="7"/>
  <c r="AE8" i="7"/>
  <c r="DN7" i="7"/>
  <c r="DM7" i="7"/>
  <c r="DL7" i="7"/>
  <c r="DK7" i="7"/>
  <c r="DJ7" i="7"/>
  <c r="DI7" i="7"/>
  <c r="DH7" i="7"/>
  <c r="DG7" i="7"/>
  <c r="DF7" i="7"/>
  <c r="DE7" i="7"/>
  <c r="DD7" i="7"/>
  <c r="DC7" i="7"/>
  <c r="DB7" i="7"/>
  <c r="DA7" i="7"/>
  <c r="CZ7" i="7"/>
  <c r="CY7" i="7"/>
  <c r="CX7" i="7"/>
  <c r="CW7" i="7"/>
  <c r="CV7" i="7"/>
  <c r="CU7" i="7"/>
  <c r="CT7" i="7"/>
  <c r="CS7" i="7"/>
  <c r="CR7" i="7"/>
  <c r="CQ7" i="7"/>
  <c r="CP7" i="7"/>
  <c r="CO7" i="7"/>
  <c r="CN7" i="7"/>
  <c r="CM7" i="7"/>
  <c r="CL7" i="7"/>
  <c r="CK7" i="7"/>
  <c r="CJ7" i="7"/>
  <c r="CI7" i="7"/>
  <c r="CH7" i="7"/>
  <c r="CG7" i="7"/>
  <c r="CF7" i="7"/>
  <c r="CE7" i="7"/>
  <c r="CD7" i="7"/>
  <c r="CC7" i="7"/>
  <c r="CB7" i="7"/>
  <c r="CA7" i="7"/>
  <c r="BZ7" i="7"/>
  <c r="BY7" i="7"/>
  <c r="BX7" i="7"/>
  <c r="BW7" i="7"/>
  <c r="BV7" i="7"/>
  <c r="BU7" i="7"/>
  <c r="BT7" i="7"/>
  <c r="BS7" i="7"/>
  <c r="BR7" i="7"/>
  <c r="BQ7" i="7"/>
  <c r="BP7" i="7"/>
  <c r="BO7" i="7"/>
  <c r="BN7" i="7"/>
  <c r="BM7" i="7"/>
  <c r="BL7" i="7"/>
  <c r="BK7" i="7"/>
  <c r="BJ7" i="7"/>
  <c r="BI7" i="7"/>
  <c r="BH7" i="7"/>
  <c r="BG7" i="7"/>
  <c r="BF7" i="7"/>
  <c r="BE7" i="7"/>
  <c r="BD7" i="7"/>
  <c r="BC7" i="7"/>
  <c r="BB7" i="7"/>
  <c r="BA7" i="7"/>
  <c r="AZ7" i="7"/>
  <c r="AY7" i="7"/>
  <c r="AX7" i="7"/>
  <c r="AW7" i="7"/>
  <c r="AV7" i="7"/>
  <c r="AU7" i="7"/>
  <c r="AT7" i="7"/>
  <c r="AS7" i="7"/>
  <c r="AR7" i="7"/>
  <c r="AQ7" i="7"/>
  <c r="AP7" i="7"/>
  <c r="AO7" i="7"/>
  <c r="AN7" i="7"/>
  <c r="AM7" i="7"/>
  <c r="AL7" i="7"/>
  <c r="AK7" i="7"/>
  <c r="AJ7" i="7"/>
  <c r="AI7" i="7"/>
  <c r="AH7" i="7"/>
  <c r="AG7" i="7"/>
  <c r="AF7" i="7"/>
  <c r="AD8" i="7"/>
  <c r="AE7" i="7"/>
  <c r="AD7" i="7"/>
  <c r="AC7" i="7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C6" i="8"/>
  <c r="D6" i="8"/>
  <c r="C7" i="8"/>
  <c r="D7" i="8"/>
  <c r="C8" i="8"/>
  <c r="D8" i="8"/>
  <c r="C9" i="8"/>
  <c r="D9" i="8"/>
  <c r="C10" i="8"/>
  <c r="D10" i="8"/>
  <c r="C11" i="8"/>
  <c r="D11" i="8"/>
  <c r="C12" i="8"/>
  <c r="D12" i="8"/>
  <c r="C13" i="8"/>
  <c r="D13" i="8"/>
  <c r="C14" i="8"/>
  <c r="D14" i="8"/>
  <c r="C15" i="8"/>
  <c r="D15" i="8"/>
  <c r="C16" i="8"/>
  <c r="D16" i="8"/>
  <c r="C17" i="8"/>
  <c r="D17" i="8"/>
  <c r="C18" i="8"/>
  <c r="D18" i="8"/>
  <c r="C19" i="8"/>
  <c r="D19" i="8"/>
  <c r="C20" i="8"/>
  <c r="D20" i="8"/>
  <c r="C21" i="8"/>
  <c r="D21" i="8"/>
  <c r="C22" i="8"/>
  <c r="D22" i="8"/>
  <c r="C23" i="8"/>
  <c r="D23" i="8"/>
  <c r="C24" i="8"/>
  <c r="D24" i="8"/>
  <c r="C25" i="8"/>
  <c r="D25" i="8"/>
  <c r="C26" i="8"/>
  <c r="D26" i="8"/>
  <c r="C27" i="8"/>
  <c r="D27" i="8"/>
  <c r="C28" i="8"/>
  <c r="D28" i="8"/>
  <c r="C29" i="8"/>
  <c r="D29" i="8"/>
  <c r="C30" i="8"/>
  <c r="D30" i="8"/>
  <c r="C31" i="8"/>
  <c r="D31" i="8"/>
  <c r="C32" i="8"/>
  <c r="D32" i="8"/>
  <c r="C33" i="8"/>
  <c r="D33" i="8"/>
  <c r="C34" i="8"/>
  <c r="D34" i="8"/>
  <c r="C35" i="8"/>
  <c r="D35" i="8"/>
  <c r="C36" i="8"/>
  <c r="D36" i="8"/>
  <c r="C37" i="8"/>
  <c r="D37" i="8"/>
  <c r="C38" i="8"/>
  <c r="D38" i="8"/>
  <c r="C39" i="8"/>
  <c r="D39" i="8"/>
  <c r="C40" i="8"/>
  <c r="D40" i="8"/>
  <c r="C41" i="8"/>
  <c r="D41" i="8"/>
  <c r="C42" i="8"/>
  <c r="D42" i="8"/>
  <c r="C43" i="8"/>
  <c r="D43" i="8"/>
  <c r="C44" i="8"/>
  <c r="D44" i="8"/>
  <c r="C45" i="8"/>
  <c r="D45" i="8"/>
  <c r="C46" i="8"/>
  <c r="D46" i="8"/>
  <c r="C47" i="8"/>
  <c r="D47" i="8"/>
  <c r="C48" i="8"/>
  <c r="D48" i="8"/>
  <c r="C49" i="8"/>
  <c r="D49" i="8"/>
  <c r="C50" i="8"/>
  <c r="D50" i="8"/>
  <c r="C51" i="8"/>
  <c r="D51" i="8"/>
  <c r="C52" i="8"/>
  <c r="D52" i="8"/>
  <c r="C53" i="8"/>
  <c r="D53" i="8"/>
  <c r="C54" i="8"/>
  <c r="D54" i="8"/>
  <c r="C55" i="8"/>
  <c r="D55" i="8"/>
  <c r="C56" i="8"/>
  <c r="D56" i="8"/>
  <c r="C57" i="8"/>
  <c r="D57" i="8"/>
  <c r="C58" i="8"/>
  <c r="D58" i="8"/>
  <c r="C59" i="8"/>
  <c r="D59" i="8"/>
  <c r="C60" i="8"/>
  <c r="D60" i="8"/>
  <c r="C61" i="8"/>
  <c r="D61" i="8"/>
  <c r="C62" i="8"/>
  <c r="D62" i="8"/>
  <c r="C63" i="8"/>
  <c r="D63" i="8"/>
  <c r="C64" i="8"/>
  <c r="D64" i="8"/>
  <c r="C65" i="8"/>
  <c r="D65" i="8"/>
  <c r="C66" i="8"/>
  <c r="D66" i="8"/>
  <c r="C67" i="8"/>
  <c r="D67" i="8"/>
  <c r="C68" i="8"/>
  <c r="D68" i="8"/>
  <c r="C69" i="8"/>
  <c r="D69" i="8"/>
  <c r="C70" i="8"/>
  <c r="D70" i="8"/>
  <c r="C71" i="8"/>
  <c r="D71" i="8"/>
  <c r="C72" i="8"/>
  <c r="D72" i="8"/>
  <c r="C73" i="8"/>
  <c r="D73" i="8"/>
  <c r="C74" i="8"/>
  <c r="D74" i="8"/>
  <c r="C75" i="8"/>
  <c r="D75" i="8"/>
  <c r="C76" i="8"/>
  <c r="D76" i="8"/>
  <c r="C77" i="8"/>
  <c r="D77" i="8"/>
  <c r="C78" i="8"/>
  <c r="D78" i="8"/>
  <c r="C79" i="8"/>
  <c r="D79" i="8"/>
  <c r="C80" i="8"/>
  <c r="D80" i="8"/>
  <c r="C81" i="8"/>
  <c r="D81" i="8"/>
  <c r="C82" i="8"/>
  <c r="D82" i="8"/>
  <c r="C83" i="8"/>
  <c r="D83" i="8"/>
  <c r="C84" i="8"/>
  <c r="D84" i="8"/>
  <c r="C85" i="8"/>
  <c r="D85" i="8"/>
  <c r="C86" i="8"/>
  <c r="D86" i="8"/>
  <c r="C87" i="8"/>
  <c r="D87" i="8"/>
  <c r="C88" i="8"/>
  <c r="D88" i="8"/>
  <c r="C89" i="8"/>
  <c r="D89" i="8"/>
  <c r="C90" i="8"/>
  <c r="D90" i="8"/>
  <c r="C91" i="8"/>
  <c r="D91" i="8"/>
  <c r="C92" i="8"/>
  <c r="D92" i="8"/>
  <c r="C93" i="8"/>
  <c r="D93" i="8"/>
  <c r="C94" i="8"/>
  <c r="D94" i="8"/>
  <c r="C95" i="8"/>
  <c r="D95" i="8"/>
  <c r="C5" i="8"/>
  <c r="D5" i="8"/>
  <c r="AA7" i="7"/>
  <c r="J95" i="8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5" i="7"/>
  <c r="F5" i="8"/>
  <c r="G5" i="8"/>
  <c r="F6" i="8"/>
  <c r="G6" i="8"/>
  <c r="F7" i="8"/>
  <c r="G7" i="8"/>
  <c r="F8" i="8"/>
  <c r="G8" i="8"/>
  <c r="F9" i="8"/>
  <c r="G9" i="8"/>
  <c r="F10" i="8"/>
  <c r="G10" i="8"/>
  <c r="F11" i="8"/>
  <c r="G11" i="8"/>
  <c r="F12" i="8"/>
  <c r="G12" i="8"/>
  <c r="F13" i="8"/>
  <c r="G13" i="8"/>
  <c r="F14" i="8"/>
  <c r="G14" i="8"/>
  <c r="F15" i="8"/>
  <c r="G15" i="8"/>
  <c r="F16" i="8"/>
  <c r="G16" i="8"/>
  <c r="F17" i="8"/>
  <c r="G17" i="8"/>
  <c r="F18" i="8"/>
  <c r="G18" i="8"/>
  <c r="F19" i="8"/>
  <c r="G19" i="8"/>
  <c r="F20" i="8"/>
  <c r="G20" i="8"/>
  <c r="F21" i="8"/>
  <c r="G21" i="8"/>
  <c r="F22" i="8"/>
  <c r="G22" i="8"/>
  <c r="F23" i="8"/>
  <c r="G23" i="8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F95" i="8"/>
  <c r="F94" i="8"/>
  <c r="F93" i="8"/>
  <c r="F92" i="8"/>
  <c r="F91" i="8"/>
  <c r="F90" i="8"/>
  <c r="F89" i="8"/>
  <c r="F88" i="8"/>
  <c r="F87" i="8"/>
  <c r="F86" i="8"/>
  <c r="F85" i="8"/>
  <c r="F84" i="8"/>
  <c r="F83" i="8"/>
  <c r="F82" i="8"/>
  <c r="F81" i="8"/>
  <c r="F80" i="8"/>
  <c r="F79" i="8"/>
  <c r="F78" i="8"/>
  <c r="F77" i="8"/>
  <c r="F76" i="8"/>
  <c r="F75" i="8"/>
  <c r="F74" i="8"/>
  <c r="F73" i="8"/>
  <c r="F72" i="8"/>
  <c r="F71" i="8"/>
  <c r="F70" i="8"/>
  <c r="F69" i="8"/>
  <c r="F68" i="8"/>
  <c r="F67" i="8"/>
  <c r="F66" i="8"/>
  <c r="F65" i="8"/>
  <c r="F64" i="8"/>
  <c r="F63" i="8"/>
  <c r="F6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M6" i="7"/>
  <c r="M7" i="7"/>
  <c r="M8" i="7"/>
  <c r="M5" i="7"/>
  <c r="L6" i="7"/>
  <c r="L7" i="7"/>
  <c r="L8" i="7"/>
  <c r="L5" i="7"/>
  <c r="C9" i="6"/>
  <c r="C15" i="6"/>
  <c r="C22" i="6"/>
  <c r="C32" i="6"/>
  <c r="C35" i="6"/>
  <c r="D94" i="2"/>
  <c r="D95" i="2"/>
  <c r="I95" i="2"/>
  <c r="I94" i="2"/>
  <c r="D93" i="2"/>
  <c r="I93" i="2"/>
  <c r="D92" i="2"/>
  <c r="I92" i="2"/>
  <c r="D91" i="2"/>
  <c r="I91" i="2"/>
  <c r="D90" i="2"/>
  <c r="I90" i="2"/>
  <c r="D89" i="2"/>
  <c r="I89" i="2"/>
  <c r="D88" i="2"/>
  <c r="I88" i="2"/>
  <c r="D87" i="2"/>
  <c r="I87" i="2"/>
  <c r="D86" i="2"/>
  <c r="I86" i="2"/>
  <c r="D85" i="2"/>
  <c r="I85" i="2"/>
  <c r="D84" i="2"/>
  <c r="I84" i="2"/>
  <c r="D83" i="2"/>
  <c r="I83" i="2"/>
  <c r="D82" i="2"/>
  <c r="I82" i="2"/>
  <c r="D81" i="2"/>
  <c r="I81" i="2"/>
  <c r="D80" i="2"/>
  <c r="I80" i="2"/>
  <c r="D79" i="2"/>
  <c r="I79" i="2"/>
  <c r="D78" i="2"/>
  <c r="I78" i="2"/>
  <c r="D77" i="2"/>
  <c r="I77" i="2"/>
  <c r="D76" i="2"/>
  <c r="I76" i="2"/>
  <c r="D75" i="2"/>
  <c r="I75" i="2"/>
  <c r="D74" i="2"/>
  <c r="I74" i="2"/>
  <c r="D73" i="2"/>
  <c r="I73" i="2"/>
  <c r="D72" i="2"/>
  <c r="I72" i="2"/>
  <c r="D71" i="2"/>
  <c r="I71" i="2"/>
  <c r="D70" i="2"/>
  <c r="I70" i="2"/>
  <c r="D69" i="2"/>
  <c r="I69" i="2"/>
  <c r="D68" i="2"/>
  <c r="I68" i="2"/>
  <c r="D67" i="2"/>
  <c r="I67" i="2"/>
  <c r="D66" i="2"/>
  <c r="I66" i="2"/>
  <c r="D65" i="2"/>
  <c r="I65" i="2"/>
  <c r="D64" i="2"/>
  <c r="I64" i="2"/>
  <c r="D63" i="2"/>
  <c r="I63" i="2"/>
  <c r="D62" i="2"/>
  <c r="I62" i="2"/>
  <c r="D61" i="2"/>
  <c r="I61" i="2"/>
  <c r="D60" i="2"/>
  <c r="I60" i="2"/>
  <c r="D59" i="2"/>
  <c r="I59" i="2"/>
  <c r="D58" i="2"/>
  <c r="I58" i="2"/>
  <c r="D57" i="2"/>
  <c r="I57" i="2"/>
  <c r="D56" i="2"/>
  <c r="I56" i="2"/>
  <c r="D55" i="2"/>
  <c r="I55" i="2"/>
  <c r="D54" i="2"/>
  <c r="I54" i="2"/>
  <c r="D53" i="2"/>
  <c r="I53" i="2"/>
  <c r="D52" i="2"/>
  <c r="I52" i="2"/>
  <c r="D51" i="2"/>
  <c r="I51" i="2"/>
  <c r="D50" i="2"/>
  <c r="I50" i="2"/>
  <c r="D49" i="2"/>
  <c r="I49" i="2"/>
  <c r="D48" i="2"/>
  <c r="I48" i="2"/>
  <c r="D47" i="2"/>
  <c r="I47" i="2"/>
  <c r="D46" i="2"/>
  <c r="I46" i="2"/>
  <c r="D45" i="2"/>
  <c r="I45" i="2"/>
  <c r="D44" i="2"/>
  <c r="I44" i="2"/>
  <c r="D43" i="2"/>
  <c r="I43" i="2"/>
  <c r="D42" i="2"/>
  <c r="I42" i="2"/>
  <c r="D41" i="2"/>
  <c r="I41" i="2"/>
  <c r="D40" i="2"/>
  <c r="I40" i="2"/>
  <c r="D39" i="2"/>
  <c r="I39" i="2"/>
  <c r="D38" i="2"/>
  <c r="I38" i="2"/>
  <c r="D37" i="2"/>
  <c r="I37" i="2"/>
  <c r="D36" i="2"/>
  <c r="I36" i="2"/>
  <c r="D35" i="2"/>
  <c r="I35" i="2"/>
  <c r="D34" i="2"/>
  <c r="I34" i="2"/>
  <c r="D33" i="2"/>
  <c r="I33" i="2"/>
  <c r="D32" i="2"/>
  <c r="I32" i="2"/>
  <c r="D31" i="2"/>
  <c r="I31" i="2"/>
  <c r="D30" i="2"/>
  <c r="I30" i="2"/>
  <c r="D29" i="2"/>
  <c r="I29" i="2"/>
  <c r="D28" i="2"/>
  <c r="I28" i="2"/>
  <c r="D27" i="2"/>
  <c r="I27" i="2"/>
  <c r="D26" i="2"/>
  <c r="I26" i="2"/>
  <c r="D25" i="2"/>
  <c r="I25" i="2"/>
  <c r="D24" i="2"/>
  <c r="I24" i="2"/>
  <c r="D23" i="2"/>
  <c r="I23" i="2"/>
  <c r="D22" i="2"/>
  <c r="I22" i="2"/>
  <c r="D21" i="2"/>
  <c r="I21" i="2"/>
  <c r="D20" i="2"/>
  <c r="I20" i="2"/>
  <c r="D19" i="2"/>
  <c r="I19" i="2"/>
  <c r="D18" i="2"/>
  <c r="I18" i="2"/>
  <c r="D17" i="2"/>
  <c r="I17" i="2"/>
  <c r="D16" i="2"/>
  <c r="I16" i="2"/>
  <c r="D15" i="2"/>
  <c r="I15" i="2"/>
  <c r="D14" i="2"/>
  <c r="I14" i="2"/>
  <c r="D13" i="2"/>
  <c r="I13" i="2"/>
  <c r="D12" i="2"/>
  <c r="I12" i="2"/>
  <c r="D11" i="2"/>
  <c r="I11" i="2"/>
  <c r="D10" i="2"/>
  <c r="I10" i="2"/>
  <c r="D9" i="2"/>
  <c r="I9" i="2"/>
  <c r="D8" i="2"/>
  <c r="I8" i="2"/>
  <c r="D7" i="2"/>
  <c r="I7" i="2"/>
  <c r="D6" i="2"/>
  <c r="I6" i="2"/>
  <c r="D5" i="2"/>
  <c r="I5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L7" i="2"/>
  <c r="L5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H5" i="2"/>
  <c r="F55" i="2"/>
  <c r="F56" i="2"/>
  <c r="F57" i="2"/>
  <c r="F58" i="2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5" i="5"/>
  <c r="J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5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6" i="5"/>
  <c r="D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5" i="5"/>
  <c r="D5" i="4"/>
  <c r="C6" i="4"/>
  <c r="D6" i="4"/>
  <c r="C7" i="4"/>
  <c r="D7" i="4"/>
  <c r="C8" i="4"/>
  <c r="D8" i="4"/>
  <c r="C9" i="4"/>
  <c r="D9" i="4"/>
  <c r="C10" i="4"/>
  <c r="D10" i="4"/>
  <c r="C11" i="4"/>
  <c r="D11" i="4"/>
  <c r="C12" i="4"/>
  <c r="D12" i="4"/>
  <c r="C13" i="4"/>
  <c r="D13" i="4"/>
  <c r="C14" i="4"/>
  <c r="D14" i="4"/>
  <c r="C15" i="4"/>
  <c r="D15" i="4"/>
  <c r="C16" i="4"/>
  <c r="D16" i="4"/>
  <c r="C17" i="4"/>
  <c r="D17" i="4"/>
  <c r="C18" i="4"/>
  <c r="D18" i="4"/>
  <c r="C19" i="4"/>
  <c r="D19" i="4"/>
  <c r="C20" i="4"/>
  <c r="D20" i="4"/>
  <c r="C21" i="4"/>
  <c r="D21" i="4"/>
  <c r="C22" i="4"/>
  <c r="D22" i="4"/>
  <c r="C23" i="4"/>
  <c r="D23" i="4"/>
  <c r="C24" i="4"/>
  <c r="D24" i="4"/>
  <c r="C25" i="4"/>
  <c r="D25" i="4"/>
  <c r="C26" i="4"/>
  <c r="D26" i="4"/>
  <c r="C27" i="4"/>
  <c r="D27" i="4"/>
  <c r="C28" i="4"/>
  <c r="D28" i="4"/>
  <c r="C29" i="4"/>
  <c r="D29" i="4"/>
  <c r="C30" i="4"/>
  <c r="D30" i="4"/>
  <c r="C31" i="4"/>
  <c r="D31" i="4"/>
  <c r="C32" i="4"/>
  <c r="D32" i="4"/>
  <c r="C33" i="4"/>
  <c r="D33" i="4"/>
  <c r="C34" i="4"/>
  <c r="D34" i="4"/>
  <c r="C35" i="4"/>
  <c r="D35" i="4"/>
  <c r="C36" i="4"/>
  <c r="D36" i="4"/>
  <c r="C37" i="4"/>
  <c r="D37" i="4"/>
  <c r="C38" i="4"/>
  <c r="D38" i="4"/>
  <c r="C39" i="4"/>
  <c r="D39" i="4"/>
  <c r="C40" i="4"/>
  <c r="D40" i="4"/>
  <c r="C41" i="4"/>
  <c r="D41" i="4"/>
  <c r="C42" i="4"/>
  <c r="D42" i="4"/>
  <c r="C43" i="4"/>
  <c r="D43" i="4"/>
  <c r="C44" i="4"/>
  <c r="D44" i="4"/>
  <c r="I12" i="4"/>
  <c r="C45" i="4"/>
  <c r="G12" i="4"/>
  <c r="D45" i="4"/>
  <c r="C46" i="4"/>
  <c r="D46" i="4"/>
  <c r="C47" i="4"/>
  <c r="D47" i="4"/>
  <c r="C48" i="4"/>
  <c r="D48" i="4"/>
  <c r="C49" i="4"/>
  <c r="D49" i="4"/>
  <c r="C50" i="4"/>
  <c r="G8" i="4"/>
  <c r="D50" i="4"/>
  <c r="C51" i="4"/>
  <c r="D51" i="4"/>
  <c r="C52" i="4"/>
  <c r="D52" i="4"/>
  <c r="C53" i="4"/>
  <c r="D53" i="4"/>
  <c r="C54" i="4"/>
  <c r="D54" i="4"/>
  <c r="C55" i="4"/>
  <c r="D55" i="4"/>
  <c r="C56" i="4"/>
  <c r="D56" i="4"/>
  <c r="C57" i="4"/>
  <c r="D57" i="4"/>
  <c r="C58" i="4"/>
  <c r="D58" i="4"/>
  <c r="C59" i="4"/>
  <c r="D59" i="4"/>
  <c r="C60" i="4"/>
  <c r="D60" i="4"/>
  <c r="C61" i="4"/>
  <c r="D61" i="4"/>
  <c r="C62" i="4"/>
  <c r="D62" i="4"/>
  <c r="C63" i="4"/>
  <c r="D63" i="4"/>
  <c r="C64" i="4"/>
  <c r="D64" i="4"/>
  <c r="C65" i="4"/>
  <c r="G5" i="4"/>
  <c r="D65" i="4"/>
  <c r="C66" i="4"/>
  <c r="D66" i="4"/>
  <c r="C67" i="4"/>
  <c r="D67" i="4"/>
  <c r="C68" i="4"/>
  <c r="D68" i="4"/>
  <c r="C69" i="4"/>
  <c r="D69" i="4"/>
  <c r="C70" i="4"/>
  <c r="D70" i="4"/>
  <c r="C71" i="4"/>
  <c r="D71" i="4"/>
  <c r="C72" i="4"/>
  <c r="D72" i="4"/>
  <c r="C73" i="4"/>
  <c r="D73" i="4"/>
  <c r="C74" i="4"/>
  <c r="D74" i="4"/>
  <c r="C75" i="4"/>
  <c r="D75" i="4"/>
  <c r="C76" i="4"/>
  <c r="D76" i="4"/>
  <c r="C77" i="4"/>
  <c r="D77" i="4"/>
  <c r="C78" i="4"/>
  <c r="D78" i="4"/>
  <c r="C79" i="4"/>
  <c r="D79" i="4"/>
  <c r="C80" i="4"/>
  <c r="D80" i="4"/>
  <c r="C81" i="4"/>
  <c r="D81" i="4"/>
  <c r="C82" i="4"/>
  <c r="D82" i="4"/>
  <c r="C83" i="4"/>
  <c r="D83" i="4"/>
  <c r="C84" i="4"/>
  <c r="D84" i="4"/>
  <c r="C85" i="4"/>
  <c r="D85" i="4"/>
  <c r="C86" i="4"/>
  <c r="D86" i="4"/>
  <c r="C87" i="4"/>
  <c r="D87" i="4"/>
  <c r="C88" i="4"/>
  <c r="D88" i="4"/>
  <c r="C89" i="4"/>
  <c r="D89" i="4"/>
  <c r="C90" i="4"/>
  <c r="D90" i="4"/>
  <c r="C91" i="4"/>
  <c r="D91" i="4"/>
  <c r="C92" i="4"/>
  <c r="D92" i="4"/>
  <c r="C93" i="4"/>
  <c r="D93" i="4"/>
  <c r="C94" i="4"/>
  <c r="D94" i="4"/>
  <c r="C95" i="4"/>
  <c r="D95" i="4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B21" i="1"/>
  <c r="B22" i="1"/>
  <c r="B23" i="1"/>
  <c r="B24" i="1"/>
  <c r="B16" i="1"/>
  <c r="B17" i="1"/>
  <c r="B18" i="1"/>
  <c r="B19" i="1"/>
  <c r="B11" i="1"/>
  <c r="B12" i="1"/>
  <c r="B13" i="1"/>
  <c r="B14" i="1"/>
  <c r="B6" i="1"/>
  <c r="B7" i="1"/>
  <c r="B8" i="1"/>
  <c r="B9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5" i="1"/>
  <c r="P5" i="7"/>
  <c r="O5" i="7"/>
  <c r="R5" i="7"/>
  <c r="AB1" i="7"/>
  <c r="M5" i="8"/>
  <c r="A5" i="10"/>
  <c r="H5" i="10"/>
  <c r="M6" i="8"/>
  <c r="A6" i="10"/>
  <c r="H6" i="10"/>
  <c r="M7" i="8"/>
  <c r="A7" i="10"/>
  <c r="H7" i="10"/>
  <c r="M8" i="8"/>
  <c r="A8" i="10"/>
  <c r="H8" i="10"/>
  <c r="M9" i="8"/>
  <c r="A9" i="10"/>
  <c r="H9" i="10"/>
  <c r="M10" i="8"/>
  <c r="A10" i="10"/>
  <c r="H10" i="10"/>
  <c r="M11" i="8"/>
  <c r="A11" i="10"/>
  <c r="H11" i="10"/>
  <c r="M12" i="8"/>
  <c r="A12" i="10"/>
  <c r="H12" i="10"/>
  <c r="M13" i="8"/>
  <c r="A13" i="10"/>
  <c r="H13" i="10"/>
  <c r="M14" i="8"/>
  <c r="A14" i="10"/>
  <c r="H14" i="10"/>
  <c r="M15" i="8"/>
  <c r="A15" i="10"/>
  <c r="H15" i="10"/>
  <c r="M16" i="8"/>
  <c r="A16" i="10"/>
  <c r="H16" i="10"/>
  <c r="M17" i="8"/>
  <c r="A17" i="10"/>
  <c r="H17" i="10"/>
  <c r="M18" i="8"/>
  <c r="A18" i="10"/>
  <c r="H18" i="10"/>
  <c r="M19" i="8"/>
  <c r="A19" i="10"/>
  <c r="H19" i="10"/>
  <c r="M20" i="8"/>
  <c r="A20" i="10"/>
  <c r="H20" i="10"/>
  <c r="M21" i="8"/>
  <c r="A21" i="10"/>
  <c r="H21" i="10"/>
  <c r="M22" i="8"/>
  <c r="A22" i="10"/>
  <c r="H22" i="10"/>
  <c r="M23" i="8"/>
  <c r="A23" i="10"/>
  <c r="H23" i="10"/>
  <c r="M24" i="8"/>
  <c r="A24" i="10"/>
  <c r="H24" i="10"/>
  <c r="M25" i="8"/>
  <c r="A25" i="10"/>
  <c r="H25" i="10"/>
  <c r="M26" i="8"/>
  <c r="A26" i="10"/>
  <c r="H26" i="10"/>
  <c r="M27" i="8"/>
  <c r="A27" i="10"/>
  <c r="H27" i="10"/>
  <c r="M28" i="8"/>
  <c r="A28" i="10"/>
  <c r="H28" i="10"/>
  <c r="M29" i="8"/>
  <c r="A29" i="10"/>
  <c r="H29" i="10"/>
  <c r="M30" i="8"/>
  <c r="A30" i="10"/>
  <c r="H30" i="10"/>
  <c r="M31" i="8"/>
  <c r="A31" i="10"/>
  <c r="H31" i="10"/>
  <c r="M32" i="8"/>
  <c r="A32" i="10"/>
  <c r="H32" i="10"/>
  <c r="M33" i="8"/>
  <c r="A33" i="10"/>
  <c r="H33" i="10"/>
  <c r="M34" i="8"/>
  <c r="A34" i="10"/>
  <c r="H34" i="10"/>
  <c r="M35" i="8"/>
  <c r="A35" i="10"/>
  <c r="H35" i="10"/>
  <c r="M36" i="8"/>
  <c r="A36" i="10"/>
  <c r="H36" i="10"/>
  <c r="M37" i="8"/>
  <c r="A37" i="10"/>
  <c r="H37" i="10"/>
  <c r="M38" i="8"/>
  <c r="A38" i="10"/>
  <c r="H38" i="10"/>
  <c r="M39" i="8"/>
  <c r="A39" i="10"/>
  <c r="H39" i="10"/>
  <c r="M40" i="8"/>
  <c r="A40" i="10"/>
  <c r="H40" i="10"/>
  <c r="M41" i="8"/>
  <c r="A41" i="10"/>
  <c r="H41" i="10"/>
  <c r="M42" i="8"/>
  <c r="A42" i="10"/>
  <c r="H42" i="10"/>
  <c r="M43" i="8"/>
  <c r="A43" i="10"/>
  <c r="H43" i="10"/>
  <c r="M44" i="8"/>
  <c r="A44" i="10"/>
  <c r="H44" i="10"/>
  <c r="M45" i="8"/>
  <c r="A45" i="10"/>
  <c r="H45" i="10"/>
  <c r="M46" i="8"/>
  <c r="A46" i="10"/>
  <c r="H46" i="10"/>
  <c r="M47" i="8"/>
  <c r="A47" i="10"/>
  <c r="H47" i="10"/>
  <c r="M48" i="8"/>
  <c r="A48" i="10"/>
  <c r="H48" i="10"/>
  <c r="M49" i="8"/>
  <c r="A49" i="10"/>
  <c r="H49" i="10"/>
  <c r="M50" i="8"/>
  <c r="A50" i="10"/>
  <c r="H50" i="10"/>
  <c r="M51" i="8"/>
  <c r="A51" i="10"/>
  <c r="H51" i="10"/>
  <c r="M52" i="8"/>
  <c r="A52" i="10"/>
  <c r="H52" i="10"/>
  <c r="M53" i="8"/>
  <c r="A53" i="10"/>
  <c r="H53" i="10"/>
  <c r="M54" i="8"/>
  <c r="A54" i="10"/>
  <c r="H54" i="10"/>
  <c r="M55" i="8"/>
  <c r="A55" i="10"/>
  <c r="H55" i="10"/>
  <c r="M56" i="8"/>
  <c r="A56" i="10"/>
  <c r="H56" i="10"/>
  <c r="M57" i="8"/>
  <c r="A57" i="10"/>
  <c r="H57" i="10"/>
  <c r="M58" i="8"/>
  <c r="A58" i="10"/>
  <c r="H58" i="10"/>
  <c r="M59" i="8"/>
  <c r="A59" i="10"/>
  <c r="H59" i="10"/>
  <c r="M60" i="8"/>
  <c r="A60" i="10"/>
  <c r="H60" i="10"/>
  <c r="M61" i="8"/>
  <c r="A61" i="10"/>
  <c r="H61" i="10"/>
  <c r="M62" i="8"/>
  <c r="A62" i="10"/>
  <c r="H62" i="10"/>
  <c r="M63" i="8"/>
  <c r="A63" i="10"/>
  <c r="H63" i="10"/>
  <c r="M64" i="8"/>
  <c r="A64" i="10"/>
  <c r="H64" i="10"/>
  <c r="M65" i="8"/>
  <c r="A65" i="10"/>
  <c r="H65" i="10"/>
  <c r="M66" i="8"/>
  <c r="A66" i="10"/>
  <c r="H66" i="10"/>
  <c r="M67" i="8"/>
  <c r="A67" i="10"/>
  <c r="H67" i="10"/>
  <c r="M68" i="8"/>
  <c r="A68" i="10"/>
  <c r="H68" i="10"/>
  <c r="M69" i="8"/>
  <c r="A69" i="10"/>
  <c r="H69" i="10"/>
  <c r="M70" i="8"/>
  <c r="A70" i="10"/>
  <c r="H70" i="10"/>
  <c r="M71" i="8"/>
  <c r="A71" i="10"/>
  <c r="H71" i="10"/>
  <c r="M72" i="8"/>
  <c r="A72" i="10"/>
  <c r="H72" i="10"/>
  <c r="M73" i="8"/>
  <c r="A73" i="10"/>
  <c r="H73" i="10"/>
  <c r="M74" i="8"/>
  <c r="A74" i="10"/>
  <c r="H74" i="10"/>
  <c r="M75" i="8"/>
  <c r="A75" i="10"/>
  <c r="H75" i="10"/>
  <c r="M76" i="8"/>
  <c r="A76" i="10"/>
  <c r="H76" i="10"/>
  <c r="M77" i="8"/>
  <c r="A77" i="10"/>
  <c r="H77" i="10"/>
  <c r="M78" i="8"/>
  <c r="A78" i="10"/>
  <c r="H78" i="10"/>
  <c r="M79" i="8"/>
  <c r="A79" i="10"/>
  <c r="H79" i="10"/>
  <c r="M80" i="8"/>
  <c r="A80" i="10"/>
  <c r="H80" i="10"/>
  <c r="M81" i="8"/>
  <c r="A81" i="10"/>
  <c r="H81" i="10"/>
  <c r="M82" i="8"/>
  <c r="A82" i="10"/>
  <c r="H82" i="10"/>
  <c r="M83" i="8"/>
  <c r="A83" i="10"/>
  <c r="H83" i="10"/>
  <c r="M84" i="8"/>
  <c r="A84" i="10"/>
  <c r="H84" i="10"/>
  <c r="M85" i="8"/>
  <c r="A85" i="10"/>
  <c r="H85" i="10"/>
  <c r="M86" i="8"/>
  <c r="A86" i="10"/>
  <c r="H86" i="10"/>
  <c r="M87" i="8"/>
  <c r="A87" i="10"/>
  <c r="H87" i="10"/>
  <c r="M88" i="8"/>
  <c r="A88" i="10"/>
  <c r="H88" i="10"/>
  <c r="M89" i="8"/>
  <c r="A89" i="10"/>
  <c r="H89" i="10"/>
  <c r="M90" i="8"/>
  <c r="A90" i="10"/>
  <c r="H90" i="10"/>
  <c r="M91" i="8"/>
  <c r="A91" i="10"/>
  <c r="H91" i="10"/>
  <c r="M92" i="8"/>
  <c r="A92" i="10"/>
  <c r="H92" i="10"/>
  <c r="M93" i="8"/>
  <c r="A93" i="10"/>
  <c r="H93" i="10"/>
  <c r="M94" i="8"/>
  <c r="A94" i="10"/>
  <c r="H94" i="10"/>
  <c r="M95" i="8"/>
  <c r="A95" i="10"/>
  <c r="H95" i="10"/>
  <c r="R5" i="8"/>
  <c r="Q5" i="8"/>
  <c r="T5" i="8"/>
  <c r="M5" i="10"/>
  <c r="L5" i="10"/>
  <c r="O5" i="10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</calcChain>
</file>

<file path=xl/comments1.xml><?xml version="1.0" encoding="utf-8"?>
<comments xmlns="http://schemas.openxmlformats.org/spreadsheetml/2006/main">
  <authors>
    <author>Breanne Richins</author>
  </authors>
  <commentList>
    <comment ref="C115" authorId="0">
      <text>
        <r>
          <rPr>
            <b/>
            <sz val="9"/>
            <color indexed="81"/>
            <rFont val="Calibri"/>
            <family val="2"/>
          </rPr>
          <t>Breanne Richins:</t>
        </r>
        <r>
          <rPr>
            <sz val="9"/>
            <color indexed="81"/>
            <rFont val="Calibri"/>
            <family val="2"/>
          </rPr>
          <t xml:space="preserve">
If they have DIV/0 give them full credit</t>
        </r>
      </text>
    </comment>
    <comment ref="D115" authorId="0">
      <text>
        <r>
          <rPr>
            <b/>
            <sz val="9"/>
            <color indexed="81"/>
            <rFont val="Calibri"/>
            <family val="2"/>
          </rPr>
          <t>Breanne Richins:</t>
        </r>
        <r>
          <rPr>
            <sz val="9"/>
            <color indexed="81"/>
            <rFont val="Calibri"/>
            <family val="2"/>
          </rPr>
          <t xml:space="preserve">
If they have DIV/0 give them full credit
</t>
        </r>
      </text>
    </comment>
  </commentList>
</comments>
</file>

<file path=xl/comments2.xml><?xml version="1.0" encoding="utf-8"?>
<comments xmlns="http://schemas.openxmlformats.org/spreadsheetml/2006/main">
  <authors>
    <author>Breanne Richins</author>
  </authors>
  <commentList>
    <comment ref="H5" authorId="0">
      <text>
        <r>
          <rPr>
            <b/>
            <sz val="9"/>
            <color indexed="81"/>
            <rFont val="Calibri"/>
            <family val="2"/>
          </rPr>
          <t>Breanne Richins:</t>
        </r>
        <r>
          <rPr>
            <sz val="9"/>
            <color indexed="81"/>
            <rFont val="Calibri"/>
            <family val="2"/>
          </rPr>
          <t xml:space="preserve">
Using sum of tPx</t>
        </r>
      </text>
    </comment>
    <comment ref="I5" authorId="0">
      <text>
        <r>
          <rPr>
            <b/>
            <sz val="9"/>
            <color indexed="81"/>
            <rFont val="Calibri"/>
            <family val="2"/>
          </rPr>
          <t>Breanne Richins:</t>
        </r>
        <r>
          <rPr>
            <sz val="9"/>
            <color indexed="81"/>
            <rFont val="Calibri"/>
            <family val="2"/>
          </rPr>
          <t xml:space="preserve">
Using recursion formula</t>
        </r>
      </text>
    </comment>
  </commentList>
</comments>
</file>

<file path=xl/sharedStrings.xml><?xml version="1.0" encoding="utf-8"?>
<sst xmlns="http://schemas.openxmlformats.org/spreadsheetml/2006/main" count="357" uniqueCount="193">
  <si>
    <t>Age (x)</t>
  </si>
  <si>
    <t>Part 1</t>
  </si>
  <si>
    <t>Part 1.1</t>
  </si>
  <si>
    <t>Part 1.2</t>
  </si>
  <si>
    <t>Part 1.3</t>
  </si>
  <si>
    <t>Comment on the appropriateness of modeling human mortality for each distribution from 1.1.</t>
  </si>
  <si>
    <t>Px</t>
  </si>
  <si>
    <t>tPx</t>
  </si>
  <si>
    <t>ex</t>
  </si>
  <si>
    <t>ILT Qx</t>
  </si>
  <si>
    <t>Part 2.1</t>
  </si>
  <si>
    <t>Part 2.2</t>
  </si>
  <si>
    <t>Part 2</t>
  </si>
  <si>
    <t xml:space="preserve">ILT Qx </t>
  </si>
  <si>
    <t>Constant Force Qx</t>
  </si>
  <si>
    <t>Graph the qx for the ILT, DeMoivre, Beta and Constant Force assumptions</t>
  </si>
  <si>
    <t>Uniform (DML) Qx</t>
  </si>
  <si>
    <t>Beta (GDML) Qx</t>
  </si>
  <si>
    <t>lx</t>
  </si>
  <si>
    <t>dx</t>
  </si>
  <si>
    <t>Part 3</t>
  </si>
  <si>
    <r>
      <rPr>
        <vertAlign val="subscript"/>
        <sz val="12"/>
        <color theme="1"/>
        <rFont val="Calibri"/>
        <family val="2"/>
        <scheme val="minor"/>
      </rPr>
      <t>30</t>
    </r>
    <r>
      <rPr>
        <sz val="12"/>
        <color theme="1"/>
        <rFont val="Calibri"/>
        <family val="2"/>
        <scheme val="minor"/>
      </rPr>
      <t>P</t>
    </r>
    <r>
      <rPr>
        <vertAlign val="subscript"/>
        <sz val="12"/>
        <color theme="1"/>
        <rFont val="Calibri"/>
        <family val="2"/>
        <scheme val="minor"/>
      </rPr>
      <t>50</t>
    </r>
  </si>
  <si>
    <t>Part 3.1</t>
  </si>
  <si>
    <r>
      <rPr>
        <vertAlign val="subscript"/>
        <sz val="12"/>
        <color theme="1"/>
        <rFont val="Calibri"/>
        <family val="2"/>
        <scheme val="minor"/>
      </rPr>
      <t>25</t>
    </r>
    <r>
      <rPr>
        <sz val="12"/>
        <color theme="1"/>
        <rFont val="Calibri"/>
        <family val="2"/>
        <scheme val="minor"/>
      </rPr>
      <t>q</t>
    </r>
    <r>
      <rPr>
        <vertAlign val="subscript"/>
        <sz val="12"/>
        <color theme="1"/>
        <rFont val="Calibri"/>
        <family val="2"/>
        <scheme val="minor"/>
      </rPr>
      <t>40</t>
    </r>
  </si>
  <si>
    <r>
      <rPr>
        <vertAlign val="subscript"/>
        <sz val="12"/>
        <color theme="1"/>
        <rFont val="Calibri"/>
        <family val="2"/>
        <scheme val="minor"/>
      </rPr>
      <t>10|20</t>
    </r>
    <r>
      <rPr>
        <sz val="12"/>
        <color theme="1"/>
        <rFont val="Calibri"/>
        <family val="2"/>
        <scheme val="minor"/>
      </rPr>
      <t>q</t>
    </r>
    <r>
      <rPr>
        <vertAlign val="subscript"/>
        <sz val="12"/>
        <color theme="1"/>
        <rFont val="Calibri"/>
        <family val="2"/>
        <scheme val="minor"/>
      </rPr>
      <t>30</t>
    </r>
  </si>
  <si>
    <t>Method 1:</t>
  </si>
  <si>
    <t>Method 2:</t>
  </si>
  <si>
    <t>Part 3.2</t>
  </si>
  <si>
    <t>Part 4</t>
  </si>
  <si>
    <r>
      <rPr>
        <vertAlign val="subscript"/>
        <sz val="12"/>
        <color theme="1"/>
        <rFont val="Calibri"/>
        <family val="2"/>
        <scheme val="minor"/>
      </rPr>
      <t>.25</t>
    </r>
    <r>
      <rPr>
        <sz val="12"/>
        <color theme="1"/>
        <rFont val="Calibri"/>
        <family val="2"/>
        <scheme val="minor"/>
      </rPr>
      <t>q</t>
    </r>
    <r>
      <rPr>
        <vertAlign val="subscript"/>
        <sz val="12"/>
        <color theme="1"/>
        <rFont val="Calibri"/>
        <family val="2"/>
        <scheme val="minor"/>
      </rPr>
      <t>x</t>
    </r>
  </si>
  <si>
    <r>
      <rPr>
        <vertAlign val="subscript"/>
        <sz val="12"/>
        <color theme="1"/>
        <rFont val="Calibri"/>
        <family val="2"/>
        <scheme val="minor"/>
      </rPr>
      <t>.5</t>
    </r>
    <r>
      <rPr>
        <sz val="12"/>
        <color theme="1"/>
        <rFont val="Calibri"/>
        <family val="2"/>
        <scheme val="minor"/>
      </rPr>
      <t>q</t>
    </r>
    <r>
      <rPr>
        <vertAlign val="subscript"/>
        <sz val="12"/>
        <color theme="1"/>
        <rFont val="Calibri"/>
        <family val="2"/>
        <scheme val="minor"/>
      </rPr>
      <t>x+.5</t>
    </r>
  </si>
  <si>
    <r>
      <rPr>
        <vertAlign val="subscript"/>
        <sz val="12"/>
        <color theme="1"/>
        <rFont val="Calibri"/>
        <family val="2"/>
        <scheme val="minor"/>
      </rPr>
      <t>.75</t>
    </r>
    <r>
      <rPr>
        <sz val="12"/>
        <color theme="1"/>
        <rFont val="Calibri"/>
        <family val="2"/>
        <scheme val="minor"/>
      </rPr>
      <t>q</t>
    </r>
    <r>
      <rPr>
        <vertAlign val="subscript"/>
        <sz val="12"/>
        <color theme="1"/>
        <rFont val="Calibri"/>
        <family val="2"/>
        <scheme val="minor"/>
      </rPr>
      <t>x+.75</t>
    </r>
  </si>
  <si>
    <t>UDD</t>
  </si>
  <si>
    <t>Part 4.1</t>
  </si>
  <si>
    <r>
      <rPr>
        <vertAlign val="subscript"/>
        <sz val="12"/>
        <color theme="1"/>
        <rFont val="Calibri"/>
        <family val="2"/>
        <scheme val="minor"/>
      </rPr>
      <t>.75</t>
    </r>
    <r>
      <rPr>
        <sz val="12"/>
        <color theme="1"/>
        <rFont val="Calibri"/>
        <family val="2"/>
        <scheme val="minor"/>
      </rPr>
      <t>p</t>
    </r>
    <r>
      <rPr>
        <vertAlign val="subscript"/>
        <sz val="12"/>
        <color theme="1"/>
        <rFont val="Calibri"/>
        <family val="2"/>
        <scheme val="minor"/>
      </rPr>
      <t>x+.75</t>
    </r>
  </si>
  <si>
    <t>Part 4.2</t>
  </si>
  <si>
    <t>Constant Force</t>
  </si>
  <si>
    <r>
      <t>tP</t>
    </r>
    <r>
      <rPr>
        <vertAlign val="subscript"/>
        <sz val="12"/>
        <color theme="1"/>
        <rFont val="Calibri"/>
        <family val="2"/>
        <scheme val="minor"/>
      </rPr>
      <t>40</t>
    </r>
  </si>
  <si>
    <r>
      <t>e</t>
    </r>
    <r>
      <rPr>
        <vertAlign val="subscript"/>
        <sz val="12"/>
        <color theme="1"/>
        <rFont val="Calibri"/>
        <family val="2"/>
        <scheme val="minor"/>
      </rPr>
      <t>40:30̅|</t>
    </r>
  </si>
  <si>
    <r>
      <t>e</t>
    </r>
    <r>
      <rPr>
        <vertAlign val="subscript"/>
        <sz val="12"/>
        <color theme="1"/>
        <rFont val="Calibri"/>
        <family val="2"/>
        <scheme val="minor"/>
      </rPr>
      <t>40:10̅|</t>
    </r>
  </si>
  <si>
    <t>Constant force does not do a good job of modeling human mortality as it doesn't make sense that the mortality doesn't increase with age</t>
  </si>
  <si>
    <t>Beta does not do a good job of modeling human mortality over the life of a person. With these parameters it overestimates mortality until age 90</t>
  </si>
  <si>
    <t>Uniform mortality does not do a good job of modeling mortality over a lifetime. It looks reasonable at age 30-60.</t>
  </si>
  <si>
    <t>1.1.1</t>
  </si>
  <si>
    <t>1.1.2</t>
  </si>
  <si>
    <t>1.1.3</t>
  </si>
  <si>
    <t>Possible Points</t>
  </si>
  <si>
    <t>2.2.1</t>
  </si>
  <si>
    <t>2.2.2</t>
  </si>
  <si>
    <t>3.2.1</t>
  </si>
  <si>
    <t>3.2.2</t>
  </si>
  <si>
    <t>3.2.3</t>
  </si>
  <si>
    <t>Part 1 Subtotal</t>
  </si>
  <si>
    <t>Part 2 Subtotal</t>
  </si>
  <si>
    <t>Part 3 Subtotal</t>
  </si>
  <si>
    <t>4.1.1</t>
  </si>
  <si>
    <t>4.1.2</t>
  </si>
  <si>
    <t>4.1.3</t>
  </si>
  <si>
    <t>4.2.1</t>
  </si>
  <si>
    <t>4.2.2</t>
  </si>
  <si>
    <t>4.2.3</t>
  </si>
  <si>
    <t xml:space="preserve">Part 4 Subtotal </t>
  </si>
  <si>
    <t>Grand Total</t>
  </si>
  <si>
    <t>Submission #1</t>
  </si>
  <si>
    <t>Note to grader: As long as they have something close give them full credit</t>
  </si>
  <si>
    <t>Qx</t>
  </si>
  <si>
    <t>ILT</t>
  </si>
  <si>
    <t>Uniform (DML)</t>
  </si>
  <si>
    <t>Part 5 - Whole Life</t>
  </si>
  <si>
    <t>v</t>
  </si>
  <si>
    <t>Time</t>
  </si>
  <si>
    <t>Int Rate</t>
  </si>
  <si>
    <t>Uniform Qx</t>
  </si>
  <si>
    <t>Constant Qx</t>
  </si>
  <si>
    <t>Part 6 - Term Life</t>
  </si>
  <si>
    <t>Part 7 - Pure Endowment</t>
  </si>
  <si>
    <t>20Px</t>
  </si>
  <si>
    <t>ILT Px</t>
  </si>
  <si>
    <t>5.1.1</t>
  </si>
  <si>
    <t>5.1.2</t>
  </si>
  <si>
    <t>5.1.3</t>
  </si>
  <si>
    <t>7.1.1</t>
  </si>
  <si>
    <t>7.1.2</t>
  </si>
  <si>
    <t>7.1.3</t>
  </si>
  <si>
    <t>6.1.1</t>
  </si>
  <si>
    <t>6.1.2</t>
  </si>
  <si>
    <t>6.1.3</t>
  </si>
  <si>
    <t>Ax</t>
  </si>
  <si>
    <t>2Ax</t>
  </si>
  <si>
    <t>v2</t>
  </si>
  <si>
    <t>Variance</t>
  </si>
  <si>
    <t>ILT Ax</t>
  </si>
  <si>
    <t>tP20</t>
  </si>
  <si>
    <t>A1x:n</t>
  </si>
  <si>
    <t>2A1x:n</t>
  </si>
  <si>
    <t>Using Recursive</t>
  </si>
  <si>
    <t>Ax:1n</t>
  </si>
  <si>
    <t>2Ax:1n</t>
  </si>
  <si>
    <t>Part 8 - Endowment</t>
  </si>
  <si>
    <t>8.1.1</t>
  </si>
  <si>
    <t>8.1.2</t>
  </si>
  <si>
    <t>8.1.3</t>
  </si>
  <si>
    <t>Ax:n</t>
  </si>
  <si>
    <t>2Ax:n</t>
  </si>
  <si>
    <t>ILT wVBA</t>
  </si>
  <si>
    <t>Submission #2</t>
  </si>
  <si>
    <t>Part 6 Subtotal</t>
  </si>
  <si>
    <t>Part 8 Subtotal</t>
  </si>
  <si>
    <t>Part 7 Subtotal</t>
  </si>
  <si>
    <t>Part 5 Subtotal</t>
  </si>
  <si>
    <t>x</t>
  </si>
  <si>
    <t>(Given in template)</t>
  </si>
  <si>
    <t>Calculated from Part 7</t>
  </si>
  <si>
    <t>Pure Endowment</t>
  </si>
  <si>
    <t>Calculated from Part 6</t>
  </si>
  <si>
    <t>Relationship to Insurance</t>
  </si>
  <si>
    <t>Summation of px and v</t>
  </si>
  <si>
    <t>Part 9 - Whole Life Annuity Due</t>
  </si>
  <si>
    <t>9.1.1</t>
  </si>
  <si>
    <t>Whole Life Insurance</t>
  </si>
  <si>
    <t>tP20*vt</t>
  </si>
  <si>
    <t>adotn</t>
  </si>
  <si>
    <t>kP20*qx+k</t>
  </si>
  <si>
    <t>9.1.2</t>
  </si>
  <si>
    <t>9.1.3</t>
  </si>
  <si>
    <t>adotn^2</t>
  </si>
  <si>
    <t>adotn*kP20*qx+k</t>
  </si>
  <si>
    <t>adotn^2*kP20*qx+k</t>
  </si>
  <si>
    <t>E[Y]</t>
  </si>
  <si>
    <t>E[Y^2]</t>
  </si>
  <si>
    <t>9.2.1</t>
  </si>
  <si>
    <t>Expected Value of Y Defn</t>
  </si>
  <si>
    <t>Direct Calculation of E[Y] and E[Y^2]</t>
  </si>
  <si>
    <t>Part 10 - 20-Year Temporary Life Annuity Due</t>
  </si>
  <si>
    <t>Ax:20</t>
  </si>
  <si>
    <t>Endowment Insurance</t>
  </si>
  <si>
    <t>A20:20</t>
  </si>
  <si>
    <t>2A20:20</t>
  </si>
  <si>
    <t>10.1.1</t>
  </si>
  <si>
    <t>10.1.2</t>
  </si>
  <si>
    <t>10.1.3</t>
  </si>
  <si>
    <t>10.2.1</t>
  </si>
  <si>
    <t>10.2.2</t>
  </si>
  <si>
    <t>9.2.2</t>
  </si>
  <si>
    <t>Part 9 Subtotal</t>
  </si>
  <si>
    <t>Submission #3</t>
  </si>
  <si>
    <t>Part 10 Subtotal</t>
  </si>
  <si>
    <t>11.1.1</t>
  </si>
  <si>
    <t>Part 11 - Whole Life Reserve</t>
  </si>
  <si>
    <t>Prospective Formula</t>
  </si>
  <si>
    <t>Retrospective Formula</t>
  </si>
  <si>
    <t>11.1.2</t>
  </si>
  <si>
    <t>11.1.3</t>
  </si>
  <si>
    <t>11.1.5</t>
  </si>
  <si>
    <t>11.1.6</t>
  </si>
  <si>
    <t>11.1.4</t>
  </si>
  <si>
    <t>Premium Difference Formula</t>
  </si>
  <si>
    <t>äx</t>
  </si>
  <si>
    <t>t</t>
  </si>
  <si>
    <t>Paid-Up Formula</t>
  </si>
  <si>
    <t>Annuity-Ratio Formula</t>
  </si>
  <si>
    <t>Insurance-Ratio Formula</t>
  </si>
  <si>
    <t>Premium-Ratio Formula</t>
  </si>
  <si>
    <t>11.1.7</t>
  </si>
  <si>
    <t>1000*(Ax)</t>
  </si>
  <si>
    <t>1000*(²Ax)</t>
  </si>
  <si>
    <t>11.2.1</t>
  </si>
  <si>
    <t>Variance of Loss</t>
  </si>
  <si>
    <t>Part 12 - Term Life Reserve</t>
  </si>
  <si>
    <t>1000*20Ex</t>
  </si>
  <si>
    <t>12.1.1</t>
  </si>
  <si>
    <t>12.1.2</t>
  </si>
  <si>
    <t>1000*10Ex</t>
  </si>
  <si>
    <t>11.1.8</t>
  </si>
  <si>
    <t>Recursive Relationship</t>
  </si>
  <si>
    <t>12.1.3</t>
  </si>
  <si>
    <t>Part 13 - Gross Reserves</t>
  </si>
  <si>
    <t>Total Expenses</t>
  </si>
  <si>
    <t>13.1 Gross Premium</t>
  </si>
  <si>
    <t>13.2 Expense Loading</t>
  </si>
  <si>
    <t>13.4.1</t>
  </si>
  <si>
    <t>Gross Reserve - Prospective</t>
  </si>
  <si>
    <t>Gross Reserve - Recursive</t>
  </si>
  <si>
    <t>Expense Reserve - Direct Calc</t>
  </si>
  <si>
    <t>Expense RSV - Using Gross RSV</t>
  </si>
  <si>
    <t>13.4.2</t>
  </si>
  <si>
    <t>13.5.1</t>
  </si>
  <si>
    <t>13.5.2</t>
  </si>
  <si>
    <t>Variance of Gross Loss</t>
  </si>
  <si>
    <t>Part 11 Subtotal</t>
  </si>
  <si>
    <t>Part 12 Subtotal</t>
  </si>
  <si>
    <t>Submission #4</t>
  </si>
  <si>
    <t>Part 13 Subtotal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</si>
</sst>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0.00000"/>
    <numFmt numFmtId="165" formatCode="0.000000"/>
    <numFmt numFmtId="166" formatCode="0.0000"/>
    <numFmt numFmtId="167" formatCode="0.000"/>
    <numFmt numFmtId="168" formatCode="_(* #,##0_);_(* \(#,##0\);_(* &quot;-&quot;??_);_(@_)"/>
    <numFmt numFmtId="169" formatCode="_(* #,##0.0000_);_(* \(#,##0.0000\);_(* &quot;-&quot;??_);_(@_)"/>
    <numFmt numFmtId="170" formatCode="_(* #,##0.0000000000_);_(* \(#,##0.0000000000\);_(* &quot;-&quot;??_);_(@_)"/>
    <numFmt numFmtId="171" formatCode="0.000000000"/>
  </numFmts>
  <fonts count="1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mbria"/>
      <family val="1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9"/>
      <color indexed="81"/>
      <name val="Calibri"/>
      <family val="2"/>
    </font>
    <font>
      <b/>
      <sz val="9"/>
      <color indexed="81"/>
      <name val="Calibri"/>
      <family val="2"/>
    </font>
    <font>
      <i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</borders>
  <cellStyleXfs count="290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20">
    <xf numFmtId="0" fontId="0" fillId="0" borderId="0" xfId="0"/>
    <xf numFmtId="164" fontId="0" fillId="0" borderId="0" xfId="0" applyNumberForma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165" fontId="0" fillId="2" borderId="2" xfId="0" applyNumberFormat="1" applyFill="1" applyBorder="1"/>
    <xf numFmtId="165" fontId="0" fillId="2" borderId="3" xfId="0" applyNumberFormat="1" applyFill="1" applyBorder="1"/>
    <xf numFmtId="165" fontId="0" fillId="2" borderId="4" xfId="0" applyNumberFormat="1" applyFill="1" applyBorder="1"/>
    <xf numFmtId="167" fontId="0" fillId="2" borderId="2" xfId="0" applyNumberFormat="1" applyFill="1" applyBorder="1"/>
    <xf numFmtId="167" fontId="0" fillId="2" borderId="3" xfId="0" applyNumberFormat="1" applyFill="1" applyBorder="1"/>
    <xf numFmtId="167" fontId="0" fillId="2" borderId="4" xfId="0" applyNumberFormat="1" applyFill="1" applyBorder="1"/>
    <xf numFmtId="166" fontId="0" fillId="2" borderId="1" xfId="0" applyNumberFormat="1" applyFill="1" applyBorder="1"/>
    <xf numFmtId="167" fontId="0" fillId="2" borderId="1" xfId="0" applyNumberFormat="1" applyFill="1" applyBorder="1"/>
    <xf numFmtId="164" fontId="0" fillId="2" borderId="5" xfId="0" applyNumberFormat="1" applyFill="1" applyBorder="1"/>
    <xf numFmtId="0" fontId="0" fillId="2" borderId="6" xfId="0" applyFill="1" applyBorder="1"/>
    <xf numFmtId="0" fontId="0" fillId="2" borderId="7" xfId="0" applyFill="1" applyBorder="1"/>
    <xf numFmtId="164" fontId="0" fillId="2" borderId="8" xfId="0" applyNumberFormat="1" applyFill="1" applyBorder="1"/>
    <xf numFmtId="0" fontId="0" fillId="2" borderId="0" xfId="0" applyFill="1" applyBorder="1"/>
    <xf numFmtId="0" fontId="0" fillId="2" borderId="9" xfId="0" applyFill="1" applyBorder="1"/>
    <xf numFmtId="164" fontId="0" fillId="2" borderId="10" xfId="0" applyNumberFormat="1" applyFill="1" applyBorder="1"/>
    <xf numFmtId="0" fontId="0" fillId="2" borderId="11" xfId="0" applyFill="1" applyBorder="1"/>
    <xf numFmtId="0" fontId="0" fillId="2" borderId="12" xfId="0" applyFill="1" applyBorder="1"/>
    <xf numFmtId="168" fontId="0" fillId="2" borderId="5" xfId="19" applyNumberFormat="1" applyFont="1" applyFill="1" applyBorder="1"/>
    <xf numFmtId="168" fontId="0" fillId="2" borderId="7" xfId="19" applyNumberFormat="1" applyFont="1" applyFill="1" applyBorder="1"/>
    <xf numFmtId="168" fontId="0" fillId="2" borderId="8" xfId="19" applyNumberFormat="1" applyFont="1" applyFill="1" applyBorder="1"/>
    <xf numFmtId="168" fontId="0" fillId="2" borderId="9" xfId="19" applyNumberFormat="1" applyFont="1" applyFill="1" applyBorder="1"/>
    <xf numFmtId="168" fontId="0" fillId="2" borderId="10" xfId="19" applyNumberFormat="1" applyFont="1" applyFill="1" applyBorder="1"/>
    <xf numFmtId="168" fontId="0" fillId="2" borderId="12" xfId="19" applyNumberFormat="1" applyFont="1" applyFill="1" applyBorder="1"/>
    <xf numFmtId="169" fontId="0" fillId="2" borderId="1" xfId="19" applyNumberFormat="1" applyFont="1" applyFill="1" applyBorder="1"/>
    <xf numFmtId="165" fontId="0" fillId="0" borderId="0" xfId="0" applyNumberFormat="1"/>
    <xf numFmtId="169" fontId="0" fillId="2" borderId="1" xfId="0" applyNumberFormat="1" applyFill="1" applyBorder="1"/>
    <xf numFmtId="166" fontId="0" fillId="0" borderId="0" xfId="0" applyNumberFormat="1" applyFill="1" applyBorder="1"/>
    <xf numFmtId="0" fontId="0" fillId="2" borderId="5" xfId="0" applyFill="1" applyBorder="1"/>
    <xf numFmtId="0" fontId="0" fillId="2" borderId="8" xfId="0" applyFill="1" applyBorder="1"/>
    <xf numFmtId="0" fontId="0" fillId="2" borderId="10" xfId="0" applyFill="1" applyBorder="1"/>
    <xf numFmtId="165" fontId="0" fillId="2" borderId="5" xfId="0" applyNumberFormat="1" applyFill="1" applyBorder="1"/>
    <xf numFmtId="165" fontId="0" fillId="2" borderId="7" xfId="0" applyNumberFormat="1" applyFill="1" applyBorder="1"/>
    <xf numFmtId="165" fontId="0" fillId="2" borderId="8" xfId="0" applyNumberFormat="1" applyFill="1" applyBorder="1"/>
    <xf numFmtId="165" fontId="0" fillId="2" borderId="9" xfId="0" applyNumberFormat="1" applyFill="1" applyBorder="1"/>
    <xf numFmtId="165" fontId="0" fillId="2" borderId="10" xfId="0" applyNumberFormat="1" applyFill="1" applyBorder="1"/>
    <xf numFmtId="165" fontId="0" fillId="2" borderId="12" xfId="0" applyNumberFormat="1" applyFill="1" applyBorder="1"/>
    <xf numFmtId="164" fontId="4" fillId="0" borderId="0" xfId="0" applyNumberFormat="1" applyFon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11" fillId="0" borderId="0" xfId="0" applyFont="1"/>
    <xf numFmtId="0" fontId="11" fillId="0" borderId="0" xfId="0" applyFont="1" applyAlignment="1">
      <alignment horizontal="left" indent="1"/>
    </xf>
    <xf numFmtId="164" fontId="11" fillId="0" borderId="0" xfId="0" applyNumberFormat="1" applyFont="1"/>
    <xf numFmtId="0" fontId="0" fillId="0" borderId="6" xfId="0" applyFill="1" applyBorder="1"/>
    <xf numFmtId="0" fontId="0" fillId="0" borderId="7" xfId="0" applyFill="1" applyBorder="1"/>
    <xf numFmtId="0" fontId="0" fillId="0" borderId="0" xfId="0" applyFill="1" applyBorder="1"/>
    <xf numFmtId="0" fontId="0" fillId="0" borderId="9" xfId="0" applyFill="1" applyBorder="1"/>
    <xf numFmtId="0" fontId="0" fillId="0" borderId="11" xfId="0" applyFill="1" applyBorder="1"/>
    <xf numFmtId="0" fontId="0" fillId="0" borderId="12" xfId="0" applyFill="1" applyBorder="1"/>
    <xf numFmtId="2" fontId="12" fillId="0" borderId="13" xfId="0" applyNumberFormat="1" applyFont="1" applyBorder="1"/>
    <xf numFmtId="2" fontId="12" fillId="0" borderId="14" xfId="0" applyNumberFormat="1" applyFont="1" applyBorder="1"/>
    <xf numFmtId="2" fontId="12" fillId="0" borderId="15" xfId="0" applyNumberFormat="1" applyFont="1" applyBorder="1"/>
    <xf numFmtId="2" fontId="12" fillId="0" borderId="16" xfId="0" applyNumberFormat="1" applyFont="1" applyBorder="1"/>
    <xf numFmtId="0" fontId="0" fillId="0" borderId="5" xfId="0" applyFill="1" applyBorder="1"/>
    <xf numFmtId="0" fontId="0" fillId="0" borderId="8" xfId="0" applyFill="1" applyBorder="1"/>
    <xf numFmtId="0" fontId="0" fillId="0" borderId="10" xfId="0" applyFill="1" applyBorder="1"/>
    <xf numFmtId="43" fontId="0" fillId="2" borderId="1" xfId="19" applyNumberFormat="1" applyFont="1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166" fontId="0" fillId="0" borderId="0" xfId="0" applyNumberFormat="1"/>
    <xf numFmtId="2" fontId="0" fillId="0" borderId="0" xfId="0" applyNumberFormat="1"/>
    <xf numFmtId="0" fontId="0" fillId="0" borderId="0" xfId="0" quotePrefix="1"/>
    <xf numFmtId="170" fontId="0" fillId="2" borderId="1" xfId="19" applyNumberFormat="1" applyFont="1" applyFill="1" applyBorder="1"/>
    <xf numFmtId="171" fontId="0" fillId="2" borderId="17" xfId="0" applyNumberFormat="1" applyFill="1" applyBorder="1"/>
    <xf numFmtId="171" fontId="0" fillId="2" borderId="18" xfId="0" applyNumberFormat="1" applyFill="1" applyBorder="1"/>
    <xf numFmtId="171" fontId="0" fillId="2" borderId="19" xfId="0" applyNumberFormat="1" applyFill="1" applyBorder="1"/>
    <xf numFmtId="2" fontId="12" fillId="4" borderId="13" xfId="0" applyNumberFormat="1" applyFont="1" applyFill="1" applyBorder="1"/>
    <xf numFmtId="2" fontId="12" fillId="4" borderId="14" xfId="0" applyNumberFormat="1" applyFont="1" applyFill="1" applyBorder="1"/>
    <xf numFmtId="2" fontId="12" fillId="4" borderId="15" xfId="0" applyNumberFormat="1" applyFont="1" applyFill="1" applyBorder="1"/>
    <xf numFmtId="2" fontId="12" fillId="4" borderId="16" xfId="0" applyNumberFormat="1" applyFont="1" applyFill="1" applyBorder="1"/>
    <xf numFmtId="0" fontId="12" fillId="0" borderId="20" xfId="0" applyFont="1" applyBorder="1"/>
    <xf numFmtId="166" fontId="12" fillId="0" borderId="16" xfId="0" applyNumberFormat="1" applyFont="1" applyBorder="1"/>
    <xf numFmtId="0" fontId="12" fillId="0" borderId="0" xfId="0" applyFont="1"/>
    <xf numFmtId="0" fontId="12" fillId="0" borderId="0" xfId="0" applyFont="1" applyBorder="1"/>
    <xf numFmtId="166" fontId="12" fillId="0" borderId="0" xfId="0" applyNumberFormat="1" applyFont="1" applyBorder="1"/>
    <xf numFmtId="166" fontId="12" fillId="4" borderId="13" xfId="0" applyNumberFormat="1" applyFont="1" applyFill="1" applyBorder="1"/>
    <xf numFmtId="166" fontId="12" fillId="4" borderId="14" xfId="0" applyNumberFormat="1" applyFont="1" applyFill="1" applyBorder="1"/>
    <xf numFmtId="166" fontId="12" fillId="4" borderId="15" xfId="0" applyNumberFormat="1" applyFont="1" applyFill="1" applyBorder="1"/>
    <xf numFmtId="166" fontId="12" fillId="4" borderId="16" xfId="0" applyNumberFormat="1" applyFont="1" applyFill="1" applyBorder="1"/>
    <xf numFmtId="166" fontId="12" fillId="0" borderId="0" xfId="0" applyNumberFormat="1" applyFont="1" applyFill="1" applyBorder="1"/>
    <xf numFmtId="0" fontId="12" fillId="0" borderId="0" xfId="0" applyFont="1" applyFill="1" applyBorder="1"/>
    <xf numFmtId="0" fontId="12" fillId="0" borderId="0" xfId="0" applyFont="1" applyFill="1"/>
    <xf numFmtId="171" fontId="0" fillId="0" borderId="0" xfId="0" applyNumberFormat="1" applyFill="1" applyBorder="1"/>
    <xf numFmtId="165" fontId="12" fillId="4" borderId="13" xfId="0" applyNumberFormat="1" applyFont="1" applyFill="1" applyBorder="1"/>
    <xf numFmtId="165" fontId="12" fillId="4" borderId="14" xfId="0" applyNumberFormat="1" applyFont="1" applyFill="1" applyBorder="1"/>
    <xf numFmtId="165" fontId="12" fillId="4" borderId="15" xfId="0" applyNumberFormat="1" applyFont="1" applyFill="1" applyBorder="1"/>
    <xf numFmtId="165" fontId="12" fillId="4" borderId="16" xfId="0" applyNumberFormat="1" applyFont="1" applyFill="1" applyBorder="1"/>
    <xf numFmtId="167" fontId="0" fillId="2" borderId="0" xfId="0" applyNumberFormat="1" applyFill="1" applyBorder="1"/>
    <xf numFmtId="167" fontId="0" fillId="2" borderId="5" xfId="0" applyNumberFormat="1" applyFill="1" applyBorder="1"/>
    <xf numFmtId="167" fontId="0" fillId="2" borderId="6" xfId="0" applyNumberFormat="1" applyFill="1" applyBorder="1"/>
    <xf numFmtId="167" fontId="0" fillId="2" borderId="7" xfId="0" applyNumberFormat="1" applyFill="1" applyBorder="1"/>
    <xf numFmtId="167" fontId="0" fillId="2" borderId="8" xfId="0" applyNumberFormat="1" applyFill="1" applyBorder="1"/>
    <xf numFmtId="167" fontId="0" fillId="2" borderId="9" xfId="0" applyNumberFormat="1" applyFill="1" applyBorder="1"/>
    <xf numFmtId="167" fontId="0" fillId="2" borderId="10" xfId="0" applyNumberFormat="1" applyFill="1" applyBorder="1"/>
    <xf numFmtId="167" fontId="0" fillId="2" borderId="11" xfId="0" applyNumberFormat="1" applyFill="1" applyBorder="1"/>
    <xf numFmtId="167" fontId="0" fillId="2" borderId="12" xfId="0" applyNumberFormat="1" applyFill="1" applyBorder="1"/>
    <xf numFmtId="43" fontId="0" fillId="0" borderId="0" xfId="0" applyNumberFormat="1"/>
    <xf numFmtId="43" fontId="0" fillId="2" borderId="2" xfId="19" applyNumberFormat="1" applyFont="1" applyFill="1" applyBorder="1"/>
    <xf numFmtId="43" fontId="0" fillId="2" borderId="3" xfId="19" applyNumberFormat="1" applyFont="1" applyFill="1" applyBorder="1"/>
    <xf numFmtId="43" fontId="0" fillId="2" borderId="4" xfId="19" applyNumberFormat="1" applyFont="1" applyFill="1" applyBorder="1"/>
    <xf numFmtId="167" fontId="0" fillId="0" borderId="0" xfId="0" applyNumberFormat="1" applyFill="1" applyBorder="1"/>
    <xf numFmtId="0" fontId="0" fillId="0" borderId="0" xfId="0" applyAlignment="1">
      <alignment horizontal="right"/>
    </xf>
    <xf numFmtId="0" fontId="0" fillId="0" borderId="0" xfId="0" applyFont="1"/>
    <xf numFmtId="0" fontId="13" fillId="0" borderId="0" xfId="0" applyFont="1"/>
    <xf numFmtId="0" fontId="4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11" xfId="0" applyBorder="1" applyAlignment="1">
      <alignment horizontal="center" wrapText="1"/>
    </xf>
  </cellXfs>
  <cellStyles count="290">
    <cellStyle name="Comma" xfId="19" builtinId="3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'Part 1 - Qx'!$B$2</c:f>
              <c:strCache>
                <c:ptCount val="1"/>
                <c:pt idx="0">
                  <c:v>ILT Qx </c:v>
                </c:pt>
              </c:strCache>
            </c:strRef>
          </c:tx>
          <c:marker>
            <c:symbol val="none"/>
          </c:marker>
          <c:val>
            <c:numRef>
              <c:f>'Part 1 - Qx'!$B$5:$B$115</c:f>
              <c:numCache>
                <c:formatCode>General</c:formatCode>
                <c:ptCount val="111"/>
                <c:pt idx="0">
                  <c:v>0.02042</c:v>
                </c:pt>
                <c:pt idx="1">
                  <c:v>0.02042</c:v>
                </c:pt>
                <c:pt idx="2">
                  <c:v>0.02042</c:v>
                </c:pt>
                <c:pt idx="3">
                  <c:v>0.02042</c:v>
                </c:pt>
                <c:pt idx="4">
                  <c:v>0.02042</c:v>
                </c:pt>
                <c:pt idx="5">
                  <c:v>0.00098</c:v>
                </c:pt>
                <c:pt idx="6">
                  <c:v>0.00098</c:v>
                </c:pt>
                <c:pt idx="7">
                  <c:v>0.00098</c:v>
                </c:pt>
                <c:pt idx="8">
                  <c:v>0.00098</c:v>
                </c:pt>
                <c:pt idx="9">
                  <c:v>0.00098</c:v>
                </c:pt>
                <c:pt idx="10">
                  <c:v>0.00085</c:v>
                </c:pt>
                <c:pt idx="11">
                  <c:v>0.00085</c:v>
                </c:pt>
                <c:pt idx="12">
                  <c:v>0.00085</c:v>
                </c:pt>
                <c:pt idx="13">
                  <c:v>0.00085</c:v>
                </c:pt>
                <c:pt idx="14">
                  <c:v>0.00085</c:v>
                </c:pt>
                <c:pt idx="15">
                  <c:v>0.00091</c:v>
                </c:pt>
                <c:pt idx="16">
                  <c:v>0.00091</c:v>
                </c:pt>
                <c:pt idx="17">
                  <c:v>0.00091</c:v>
                </c:pt>
                <c:pt idx="18">
                  <c:v>0.00091</c:v>
                </c:pt>
                <c:pt idx="19">
                  <c:v>0.00091</c:v>
                </c:pt>
                <c:pt idx="20">
                  <c:v>0.00103</c:v>
                </c:pt>
                <c:pt idx="21">
                  <c:v>0.00106</c:v>
                </c:pt>
                <c:pt idx="22">
                  <c:v>0.0011</c:v>
                </c:pt>
                <c:pt idx="23">
                  <c:v>0.00113</c:v>
                </c:pt>
                <c:pt idx="24">
                  <c:v>0.00118</c:v>
                </c:pt>
                <c:pt idx="25">
                  <c:v>0.00122</c:v>
                </c:pt>
                <c:pt idx="26">
                  <c:v>0.00127</c:v>
                </c:pt>
                <c:pt idx="27">
                  <c:v>0.00133</c:v>
                </c:pt>
                <c:pt idx="28">
                  <c:v>0.00139</c:v>
                </c:pt>
                <c:pt idx="29">
                  <c:v>0.00146</c:v>
                </c:pt>
                <c:pt idx="30">
                  <c:v>0.00153</c:v>
                </c:pt>
                <c:pt idx="31">
                  <c:v>0.00161</c:v>
                </c:pt>
                <c:pt idx="32">
                  <c:v>0.0017</c:v>
                </c:pt>
                <c:pt idx="33">
                  <c:v>0.00179</c:v>
                </c:pt>
                <c:pt idx="34">
                  <c:v>0.0019</c:v>
                </c:pt>
                <c:pt idx="35">
                  <c:v>0.00201</c:v>
                </c:pt>
                <c:pt idx="36">
                  <c:v>0.00214</c:v>
                </c:pt>
                <c:pt idx="37">
                  <c:v>0.00228</c:v>
                </c:pt>
                <c:pt idx="38">
                  <c:v>0.00243</c:v>
                </c:pt>
                <c:pt idx="39">
                  <c:v>0.0026</c:v>
                </c:pt>
                <c:pt idx="40">
                  <c:v>0.00278</c:v>
                </c:pt>
                <c:pt idx="41">
                  <c:v>0.00298</c:v>
                </c:pt>
                <c:pt idx="42">
                  <c:v>0.0032</c:v>
                </c:pt>
                <c:pt idx="43">
                  <c:v>0.00344</c:v>
                </c:pt>
                <c:pt idx="44">
                  <c:v>0.00371</c:v>
                </c:pt>
                <c:pt idx="45">
                  <c:v>0.004</c:v>
                </c:pt>
                <c:pt idx="46">
                  <c:v>0.00431</c:v>
                </c:pt>
                <c:pt idx="47">
                  <c:v>0.00466</c:v>
                </c:pt>
                <c:pt idx="48">
                  <c:v>0.00504</c:v>
                </c:pt>
                <c:pt idx="49">
                  <c:v>0.00546</c:v>
                </c:pt>
                <c:pt idx="50">
                  <c:v>0.00592</c:v>
                </c:pt>
                <c:pt idx="51">
                  <c:v>0.00642</c:v>
                </c:pt>
                <c:pt idx="52">
                  <c:v>0.00697</c:v>
                </c:pt>
                <c:pt idx="53">
                  <c:v>0.00758</c:v>
                </c:pt>
                <c:pt idx="54">
                  <c:v>0.00824</c:v>
                </c:pt>
                <c:pt idx="55">
                  <c:v>0.00896</c:v>
                </c:pt>
                <c:pt idx="56">
                  <c:v>0.00975</c:v>
                </c:pt>
                <c:pt idx="57">
                  <c:v>0.01062</c:v>
                </c:pt>
                <c:pt idx="58">
                  <c:v>0.01158</c:v>
                </c:pt>
                <c:pt idx="59">
                  <c:v>0.01262</c:v>
                </c:pt>
                <c:pt idx="60">
                  <c:v>0.01376</c:v>
                </c:pt>
                <c:pt idx="61">
                  <c:v>0.01501</c:v>
                </c:pt>
                <c:pt idx="62">
                  <c:v>0.01638</c:v>
                </c:pt>
                <c:pt idx="63">
                  <c:v>0.01788</c:v>
                </c:pt>
                <c:pt idx="64">
                  <c:v>0.01952</c:v>
                </c:pt>
                <c:pt idx="65">
                  <c:v>0.02092</c:v>
                </c:pt>
                <c:pt idx="66">
                  <c:v>0.02368</c:v>
                </c:pt>
                <c:pt idx="67">
                  <c:v>0.02544</c:v>
                </c:pt>
                <c:pt idx="68">
                  <c:v>0.02779</c:v>
                </c:pt>
                <c:pt idx="69">
                  <c:v>0.03037</c:v>
                </c:pt>
                <c:pt idx="70">
                  <c:v>0.03318</c:v>
                </c:pt>
                <c:pt idx="71">
                  <c:v>0.03626</c:v>
                </c:pt>
                <c:pt idx="72">
                  <c:v>0.03962</c:v>
                </c:pt>
                <c:pt idx="73">
                  <c:v>0.0433</c:v>
                </c:pt>
                <c:pt idx="74">
                  <c:v>0.04731</c:v>
                </c:pt>
                <c:pt idx="75">
                  <c:v>0.05169</c:v>
                </c:pt>
                <c:pt idx="76">
                  <c:v>0.05647</c:v>
                </c:pt>
                <c:pt idx="77">
                  <c:v>0.06168</c:v>
                </c:pt>
                <c:pt idx="78">
                  <c:v>0.06737</c:v>
                </c:pt>
                <c:pt idx="79">
                  <c:v>0.07356</c:v>
                </c:pt>
                <c:pt idx="80">
                  <c:v>0.0803</c:v>
                </c:pt>
                <c:pt idx="81">
                  <c:v>0.08764</c:v>
                </c:pt>
                <c:pt idx="82">
                  <c:v>0.09561</c:v>
                </c:pt>
                <c:pt idx="83">
                  <c:v>0.10428</c:v>
                </c:pt>
                <c:pt idx="84">
                  <c:v>0.11369</c:v>
                </c:pt>
                <c:pt idx="85">
                  <c:v>0.12389</c:v>
                </c:pt>
                <c:pt idx="86">
                  <c:v>0.13494</c:v>
                </c:pt>
                <c:pt idx="87">
                  <c:v>0.14689</c:v>
                </c:pt>
                <c:pt idx="88">
                  <c:v>0.15981</c:v>
                </c:pt>
                <c:pt idx="89">
                  <c:v>0.17375</c:v>
                </c:pt>
                <c:pt idx="90">
                  <c:v>0.18877</c:v>
                </c:pt>
                <c:pt idx="91">
                  <c:v>0.20493</c:v>
                </c:pt>
                <c:pt idx="92">
                  <c:v>0.22227</c:v>
                </c:pt>
                <c:pt idx="93">
                  <c:v>0.24086</c:v>
                </c:pt>
                <c:pt idx="94">
                  <c:v>0.26073</c:v>
                </c:pt>
                <c:pt idx="95">
                  <c:v>0.28191</c:v>
                </c:pt>
                <c:pt idx="96">
                  <c:v>0.30445</c:v>
                </c:pt>
                <c:pt idx="97">
                  <c:v>0.32834</c:v>
                </c:pt>
                <c:pt idx="98">
                  <c:v>0.3536</c:v>
                </c:pt>
                <c:pt idx="99">
                  <c:v>0.3802</c:v>
                </c:pt>
                <c:pt idx="100">
                  <c:v>0.40812</c:v>
                </c:pt>
                <c:pt idx="101">
                  <c:v>0.43728</c:v>
                </c:pt>
                <c:pt idx="102">
                  <c:v>0.46761</c:v>
                </c:pt>
                <c:pt idx="103">
                  <c:v>0.49899</c:v>
                </c:pt>
                <c:pt idx="104">
                  <c:v>0.53128</c:v>
                </c:pt>
                <c:pt idx="105">
                  <c:v>0.56429</c:v>
                </c:pt>
                <c:pt idx="106">
                  <c:v>0.59783</c:v>
                </c:pt>
                <c:pt idx="107">
                  <c:v>0.63164</c:v>
                </c:pt>
                <c:pt idx="108">
                  <c:v>0.66545</c:v>
                </c:pt>
                <c:pt idx="109">
                  <c:v>0.69887</c:v>
                </c:pt>
                <c:pt idx="110">
                  <c:v>0.73187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'Part 1 - Qx'!$C$2</c:f>
              <c:strCache>
                <c:ptCount val="1"/>
                <c:pt idx="0">
                  <c:v>Uniform (DML) Qx</c:v>
                </c:pt>
              </c:strCache>
            </c:strRef>
          </c:tx>
          <c:marker>
            <c:symbol val="none"/>
          </c:marker>
          <c:val>
            <c:numRef>
              <c:f>'Part 1 - Qx'!$C$5:$C$115</c:f>
              <c:numCache>
                <c:formatCode>0.00000</c:formatCode>
                <c:ptCount val="111"/>
                <c:pt idx="0">
                  <c:v>0.00909090909090909</c:v>
                </c:pt>
                <c:pt idx="1">
                  <c:v>0.0091743119266055</c:v>
                </c:pt>
                <c:pt idx="2">
                  <c:v>0.00925925925925926</c:v>
                </c:pt>
                <c:pt idx="3">
                  <c:v>0.00934579439252336</c:v>
                </c:pt>
                <c:pt idx="4">
                  <c:v>0.00943396226415094</c:v>
                </c:pt>
                <c:pt idx="5">
                  <c:v>0.00952380952380952</c:v>
                </c:pt>
                <c:pt idx="6">
                  <c:v>0.00961538461538461</c:v>
                </c:pt>
                <c:pt idx="7">
                  <c:v>0.00970873786407767</c:v>
                </c:pt>
                <c:pt idx="8">
                  <c:v>0.00980392156862745</c:v>
                </c:pt>
                <c:pt idx="9">
                  <c:v>0.0099009900990099</c:v>
                </c:pt>
                <c:pt idx="10">
                  <c:v>0.01</c:v>
                </c:pt>
                <c:pt idx="11">
                  <c:v>0.0101010101010101</c:v>
                </c:pt>
                <c:pt idx="12">
                  <c:v>0.0102040816326531</c:v>
                </c:pt>
                <c:pt idx="13">
                  <c:v>0.0103092783505155</c:v>
                </c:pt>
                <c:pt idx="14">
                  <c:v>0.0104166666666667</c:v>
                </c:pt>
                <c:pt idx="15">
                  <c:v>0.0105263157894737</c:v>
                </c:pt>
                <c:pt idx="16">
                  <c:v>0.0106382978723404</c:v>
                </c:pt>
                <c:pt idx="17">
                  <c:v>0.010752688172043</c:v>
                </c:pt>
                <c:pt idx="18">
                  <c:v>0.0108695652173913</c:v>
                </c:pt>
                <c:pt idx="19">
                  <c:v>0.010989010989011</c:v>
                </c:pt>
                <c:pt idx="20">
                  <c:v>0.0111111111111111</c:v>
                </c:pt>
                <c:pt idx="21">
                  <c:v>0.0112359550561798</c:v>
                </c:pt>
                <c:pt idx="22">
                  <c:v>0.0113636363636364</c:v>
                </c:pt>
                <c:pt idx="23">
                  <c:v>0.0114942528735632</c:v>
                </c:pt>
                <c:pt idx="24">
                  <c:v>0.0116279069767442</c:v>
                </c:pt>
                <c:pt idx="25">
                  <c:v>0.0117647058823529</c:v>
                </c:pt>
                <c:pt idx="26">
                  <c:v>0.0119047619047619</c:v>
                </c:pt>
                <c:pt idx="27">
                  <c:v>0.0120481927710843</c:v>
                </c:pt>
                <c:pt idx="28">
                  <c:v>0.0121951219512195</c:v>
                </c:pt>
                <c:pt idx="29">
                  <c:v>0.0123456790123457</c:v>
                </c:pt>
                <c:pt idx="30">
                  <c:v>0.0125</c:v>
                </c:pt>
                <c:pt idx="31">
                  <c:v>0.0126582278481013</c:v>
                </c:pt>
                <c:pt idx="32">
                  <c:v>0.0128205128205128</c:v>
                </c:pt>
                <c:pt idx="33">
                  <c:v>0.012987012987013</c:v>
                </c:pt>
                <c:pt idx="34">
                  <c:v>0.0131578947368421</c:v>
                </c:pt>
                <c:pt idx="35">
                  <c:v>0.0133333333333333</c:v>
                </c:pt>
                <c:pt idx="36">
                  <c:v>0.0135135135135135</c:v>
                </c:pt>
                <c:pt idx="37">
                  <c:v>0.0136986301369863</c:v>
                </c:pt>
                <c:pt idx="38">
                  <c:v>0.0138888888888889</c:v>
                </c:pt>
                <c:pt idx="39">
                  <c:v>0.0140845070422535</c:v>
                </c:pt>
                <c:pt idx="40">
                  <c:v>0.0142857142857143</c:v>
                </c:pt>
                <c:pt idx="41">
                  <c:v>0.0144927536231884</c:v>
                </c:pt>
                <c:pt idx="42">
                  <c:v>0.0147058823529412</c:v>
                </c:pt>
                <c:pt idx="43">
                  <c:v>0.0149253731343284</c:v>
                </c:pt>
                <c:pt idx="44">
                  <c:v>0.0151515151515151</c:v>
                </c:pt>
                <c:pt idx="45">
                  <c:v>0.0153846153846154</c:v>
                </c:pt>
                <c:pt idx="46">
                  <c:v>0.015625</c:v>
                </c:pt>
                <c:pt idx="47">
                  <c:v>0.0158730158730159</c:v>
                </c:pt>
                <c:pt idx="48">
                  <c:v>0.0161290322580645</c:v>
                </c:pt>
                <c:pt idx="49">
                  <c:v>0.0163934426229508</c:v>
                </c:pt>
                <c:pt idx="50">
                  <c:v>0.0166666666666667</c:v>
                </c:pt>
                <c:pt idx="51">
                  <c:v>0.0169491525423729</c:v>
                </c:pt>
                <c:pt idx="52">
                  <c:v>0.0172413793103448</c:v>
                </c:pt>
                <c:pt idx="53">
                  <c:v>0.0175438596491228</c:v>
                </c:pt>
                <c:pt idx="54">
                  <c:v>0.0178571428571429</c:v>
                </c:pt>
                <c:pt idx="55">
                  <c:v>0.0181818181818182</c:v>
                </c:pt>
                <c:pt idx="56">
                  <c:v>0.0185185185185185</c:v>
                </c:pt>
                <c:pt idx="57">
                  <c:v>0.0188679245283019</c:v>
                </c:pt>
                <c:pt idx="58">
                  <c:v>0.0192307692307692</c:v>
                </c:pt>
                <c:pt idx="59">
                  <c:v>0.0196078431372549</c:v>
                </c:pt>
                <c:pt idx="60">
                  <c:v>0.02</c:v>
                </c:pt>
                <c:pt idx="61">
                  <c:v>0.0204081632653061</c:v>
                </c:pt>
                <c:pt idx="62">
                  <c:v>0.0208333333333333</c:v>
                </c:pt>
                <c:pt idx="63">
                  <c:v>0.0212765957446808</c:v>
                </c:pt>
                <c:pt idx="64">
                  <c:v>0.0217391304347826</c:v>
                </c:pt>
                <c:pt idx="65">
                  <c:v>0.0222222222222222</c:v>
                </c:pt>
                <c:pt idx="66">
                  <c:v>0.0227272727272727</c:v>
                </c:pt>
                <c:pt idx="67">
                  <c:v>0.0232558139534884</c:v>
                </c:pt>
                <c:pt idx="68">
                  <c:v>0.0238095238095238</c:v>
                </c:pt>
                <c:pt idx="69">
                  <c:v>0.024390243902439</c:v>
                </c:pt>
                <c:pt idx="70">
                  <c:v>0.025</c:v>
                </c:pt>
                <c:pt idx="71">
                  <c:v>0.0256410256410256</c:v>
                </c:pt>
                <c:pt idx="72">
                  <c:v>0.0263157894736842</c:v>
                </c:pt>
                <c:pt idx="73">
                  <c:v>0.027027027027027</c:v>
                </c:pt>
                <c:pt idx="74">
                  <c:v>0.0277777777777778</c:v>
                </c:pt>
                <c:pt idx="75">
                  <c:v>0.0285714285714286</c:v>
                </c:pt>
                <c:pt idx="76">
                  <c:v>0.0294117647058823</c:v>
                </c:pt>
                <c:pt idx="77">
                  <c:v>0.0303030303030303</c:v>
                </c:pt>
                <c:pt idx="78">
                  <c:v>0.03125</c:v>
                </c:pt>
                <c:pt idx="79">
                  <c:v>0.032258064516129</c:v>
                </c:pt>
                <c:pt idx="80">
                  <c:v>0.0333333333333333</c:v>
                </c:pt>
                <c:pt idx="81">
                  <c:v>0.0344827586206896</c:v>
                </c:pt>
                <c:pt idx="82">
                  <c:v>0.0357142857142857</c:v>
                </c:pt>
                <c:pt idx="83">
                  <c:v>0.037037037037037</c:v>
                </c:pt>
                <c:pt idx="84">
                  <c:v>0.0384615384615385</c:v>
                </c:pt>
                <c:pt idx="85">
                  <c:v>0.04</c:v>
                </c:pt>
                <c:pt idx="86">
                  <c:v>0.0416666666666667</c:v>
                </c:pt>
                <c:pt idx="87">
                  <c:v>0.0434782608695652</c:v>
                </c:pt>
                <c:pt idx="88">
                  <c:v>0.0454545454545454</c:v>
                </c:pt>
                <c:pt idx="89">
                  <c:v>0.0476190476190476</c:v>
                </c:pt>
                <c:pt idx="90">
                  <c:v>0.05</c:v>
                </c:pt>
                <c:pt idx="91">
                  <c:v>0.0526315789473684</c:v>
                </c:pt>
                <c:pt idx="92">
                  <c:v>0.0555555555555555</c:v>
                </c:pt>
                <c:pt idx="93">
                  <c:v>0.0588235294117647</c:v>
                </c:pt>
                <c:pt idx="94">
                  <c:v>0.0625</c:v>
                </c:pt>
                <c:pt idx="95">
                  <c:v>0.0666666666666667</c:v>
                </c:pt>
                <c:pt idx="96">
                  <c:v>0.0714285714285714</c:v>
                </c:pt>
                <c:pt idx="97">
                  <c:v>0.0769230769230769</c:v>
                </c:pt>
                <c:pt idx="98">
                  <c:v>0.0833333333333333</c:v>
                </c:pt>
                <c:pt idx="99">
                  <c:v>0.0909090909090909</c:v>
                </c:pt>
                <c:pt idx="100">
                  <c:v>0.1</c:v>
                </c:pt>
                <c:pt idx="101">
                  <c:v>0.111111111111111</c:v>
                </c:pt>
                <c:pt idx="102">
                  <c:v>0.125</c:v>
                </c:pt>
                <c:pt idx="103">
                  <c:v>0.142857142857143</c:v>
                </c:pt>
                <c:pt idx="104">
                  <c:v>0.166666666666667</c:v>
                </c:pt>
                <c:pt idx="105">
                  <c:v>0.2</c:v>
                </c:pt>
                <c:pt idx="106">
                  <c:v>0.25</c:v>
                </c:pt>
                <c:pt idx="107">
                  <c:v>0.333333333333333</c:v>
                </c:pt>
                <c:pt idx="108">
                  <c:v>0.5</c:v>
                </c:pt>
                <c:pt idx="109">
                  <c:v>1.0</c:v>
                </c:pt>
                <c:pt idx="110">
                  <c:v>1.0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'Part 1 - Qx'!$E$2</c:f>
              <c:strCache>
                <c:ptCount val="1"/>
                <c:pt idx="0">
                  <c:v>Constant Force Qx</c:v>
                </c:pt>
              </c:strCache>
            </c:strRef>
          </c:tx>
          <c:marker>
            <c:symbol val="none"/>
          </c:marker>
          <c:val>
            <c:numRef>
              <c:f>'Part 1 - Qx'!$E$5:$E$115</c:f>
              <c:numCache>
                <c:formatCode>General</c:formatCode>
                <c:ptCount val="111"/>
                <c:pt idx="0">
                  <c:v>0.0392105608476768</c:v>
                </c:pt>
                <c:pt idx="1">
                  <c:v>0.0392105608476768</c:v>
                </c:pt>
                <c:pt idx="2">
                  <c:v>0.0392105608476768</c:v>
                </c:pt>
                <c:pt idx="3">
                  <c:v>0.0392105608476768</c:v>
                </c:pt>
                <c:pt idx="4">
                  <c:v>0.0392105608476768</c:v>
                </c:pt>
                <c:pt idx="5">
                  <c:v>0.0392105608476768</c:v>
                </c:pt>
                <c:pt idx="6">
                  <c:v>0.0392105608476768</c:v>
                </c:pt>
                <c:pt idx="7">
                  <c:v>0.0392105608476768</c:v>
                </c:pt>
                <c:pt idx="8">
                  <c:v>0.0392105608476768</c:v>
                </c:pt>
                <c:pt idx="9">
                  <c:v>0.0392105608476768</c:v>
                </c:pt>
                <c:pt idx="10">
                  <c:v>0.0392105608476768</c:v>
                </c:pt>
                <c:pt idx="11">
                  <c:v>0.0392105608476768</c:v>
                </c:pt>
                <c:pt idx="12">
                  <c:v>0.0392105608476768</c:v>
                </c:pt>
                <c:pt idx="13">
                  <c:v>0.0392105608476768</c:v>
                </c:pt>
                <c:pt idx="14">
                  <c:v>0.0392105608476768</c:v>
                </c:pt>
                <c:pt idx="15">
                  <c:v>0.0392105608476768</c:v>
                </c:pt>
                <c:pt idx="16">
                  <c:v>0.0392105608476768</c:v>
                </c:pt>
                <c:pt idx="17">
                  <c:v>0.0392105608476768</c:v>
                </c:pt>
                <c:pt idx="18">
                  <c:v>0.0392105608476768</c:v>
                </c:pt>
                <c:pt idx="19">
                  <c:v>0.0392105608476768</c:v>
                </c:pt>
                <c:pt idx="20">
                  <c:v>0.0392105608476768</c:v>
                </c:pt>
                <c:pt idx="21">
                  <c:v>0.0392105608476768</c:v>
                </c:pt>
                <c:pt idx="22">
                  <c:v>0.0392105608476768</c:v>
                </c:pt>
                <c:pt idx="23">
                  <c:v>0.0392105608476768</c:v>
                </c:pt>
                <c:pt idx="24">
                  <c:v>0.0392105608476768</c:v>
                </c:pt>
                <c:pt idx="25">
                  <c:v>0.0392105608476768</c:v>
                </c:pt>
                <c:pt idx="26">
                  <c:v>0.0392105608476768</c:v>
                </c:pt>
                <c:pt idx="27">
                  <c:v>0.0392105608476768</c:v>
                </c:pt>
                <c:pt idx="28">
                  <c:v>0.0392105608476768</c:v>
                </c:pt>
                <c:pt idx="29">
                  <c:v>0.0392105608476768</c:v>
                </c:pt>
                <c:pt idx="30">
                  <c:v>0.0392105608476768</c:v>
                </c:pt>
                <c:pt idx="31">
                  <c:v>0.0392105608476768</c:v>
                </c:pt>
                <c:pt idx="32">
                  <c:v>0.0392105608476768</c:v>
                </c:pt>
                <c:pt idx="33">
                  <c:v>0.0392105608476768</c:v>
                </c:pt>
                <c:pt idx="34">
                  <c:v>0.0392105608476768</c:v>
                </c:pt>
                <c:pt idx="35">
                  <c:v>0.0392105608476768</c:v>
                </c:pt>
                <c:pt idx="36">
                  <c:v>0.0392105608476768</c:v>
                </c:pt>
                <c:pt idx="37">
                  <c:v>0.0392105608476768</c:v>
                </c:pt>
                <c:pt idx="38">
                  <c:v>0.0392105608476768</c:v>
                </c:pt>
                <c:pt idx="39">
                  <c:v>0.0392105608476768</c:v>
                </c:pt>
                <c:pt idx="40">
                  <c:v>0.0392105608476768</c:v>
                </c:pt>
                <c:pt idx="41">
                  <c:v>0.0392105608476768</c:v>
                </c:pt>
                <c:pt idx="42">
                  <c:v>0.0392105608476768</c:v>
                </c:pt>
                <c:pt idx="43">
                  <c:v>0.0392105608476768</c:v>
                </c:pt>
                <c:pt idx="44">
                  <c:v>0.0392105608476768</c:v>
                </c:pt>
                <c:pt idx="45">
                  <c:v>0.0392105608476768</c:v>
                </c:pt>
                <c:pt idx="46">
                  <c:v>0.0392105608476768</c:v>
                </c:pt>
                <c:pt idx="47">
                  <c:v>0.0392105608476768</c:v>
                </c:pt>
                <c:pt idx="48">
                  <c:v>0.0392105608476768</c:v>
                </c:pt>
                <c:pt idx="49">
                  <c:v>0.0392105608476768</c:v>
                </c:pt>
                <c:pt idx="50">
                  <c:v>0.0392105608476768</c:v>
                </c:pt>
                <c:pt idx="51">
                  <c:v>0.0392105608476768</c:v>
                </c:pt>
                <c:pt idx="52">
                  <c:v>0.0392105608476768</c:v>
                </c:pt>
                <c:pt idx="53">
                  <c:v>0.0392105608476768</c:v>
                </c:pt>
                <c:pt idx="54">
                  <c:v>0.0392105608476768</c:v>
                </c:pt>
                <c:pt idx="55">
                  <c:v>0.0392105608476768</c:v>
                </c:pt>
                <c:pt idx="56">
                  <c:v>0.0392105608476768</c:v>
                </c:pt>
                <c:pt idx="57">
                  <c:v>0.0392105608476768</c:v>
                </c:pt>
                <c:pt idx="58">
                  <c:v>0.0392105608476768</c:v>
                </c:pt>
                <c:pt idx="59">
                  <c:v>0.0392105608476768</c:v>
                </c:pt>
                <c:pt idx="60">
                  <c:v>0.0392105608476768</c:v>
                </c:pt>
                <c:pt idx="61">
                  <c:v>0.0392105608476768</c:v>
                </c:pt>
                <c:pt idx="62">
                  <c:v>0.0392105608476768</c:v>
                </c:pt>
                <c:pt idx="63">
                  <c:v>0.0392105608476768</c:v>
                </c:pt>
                <c:pt idx="64">
                  <c:v>0.0392105608476768</c:v>
                </c:pt>
                <c:pt idx="65">
                  <c:v>0.0392105608476768</c:v>
                </c:pt>
                <c:pt idx="66">
                  <c:v>0.0392105608476768</c:v>
                </c:pt>
                <c:pt idx="67">
                  <c:v>0.0392105608476768</c:v>
                </c:pt>
                <c:pt idx="68">
                  <c:v>0.0392105608476768</c:v>
                </c:pt>
                <c:pt idx="69">
                  <c:v>0.0392105608476768</c:v>
                </c:pt>
                <c:pt idx="70">
                  <c:v>0.0392105608476768</c:v>
                </c:pt>
                <c:pt idx="71">
                  <c:v>0.0392105608476768</c:v>
                </c:pt>
                <c:pt idx="72">
                  <c:v>0.0392105608476768</c:v>
                </c:pt>
                <c:pt idx="73">
                  <c:v>0.0392105608476768</c:v>
                </c:pt>
                <c:pt idx="74">
                  <c:v>0.0392105608476768</c:v>
                </c:pt>
                <c:pt idx="75">
                  <c:v>0.0392105608476768</c:v>
                </c:pt>
                <c:pt idx="76">
                  <c:v>0.0392105608476768</c:v>
                </c:pt>
                <c:pt idx="77">
                  <c:v>0.0392105608476768</c:v>
                </c:pt>
                <c:pt idx="78">
                  <c:v>0.0392105608476768</c:v>
                </c:pt>
                <c:pt idx="79">
                  <c:v>0.0392105608476768</c:v>
                </c:pt>
                <c:pt idx="80">
                  <c:v>0.0392105608476768</c:v>
                </c:pt>
                <c:pt idx="81">
                  <c:v>0.0392105608476768</c:v>
                </c:pt>
                <c:pt idx="82">
                  <c:v>0.0392105608476768</c:v>
                </c:pt>
                <c:pt idx="83">
                  <c:v>0.0392105608476768</c:v>
                </c:pt>
                <c:pt idx="84">
                  <c:v>0.0392105608476768</c:v>
                </c:pt>
                <c:pt idx="85">
                  <c:v>0.0392105608476768</c:v>
                </c:pt>
                <c:pt idx="86">
                  <c:v>0.0392105608476768</c:v>
                </c:pt>
                <c:pt idx="87">
                  <c:v>0.0392105608476768</c:v>
                </c:pt>
                <c:pt idx="88">
                  <c:v>0.0392105608476768</c:v>
                </c:pt>
                <c:pt idx="89">
                  <c:v>0.0392105608476768</c:v>
                </c:pt>
                <c:pt idx="90">
                  <c:v>0.0392105608476768</c:v>
                </c:pt>
                <c:pt idx="91">
                  <c:v>0.0392105608476768</c:v>
                </c:pt>
                <c:pt idx="92">
                  <c:v>0.0392105608476768</c:v>
                </c:pt>
                <c:pt idx="93">
                  <c:v>0.0392105608476768</c:v>
                </c:pt>
                <c:pt idx="94">
                  <c:v>0.0392105608476768</c:v>
                </c:pt>
                <c:pt idx="95">
                  <c:v>0.0392105608476768</c:v>
                </c:pt>
                <c:pt idx="96">
                  <c:v>0.0392105608476768</c:v>
                </c:pt>
                <c:pt idx="97">
                  <c:v>0.0392105608476768</c:v>
                </c:pt>
                <c:pt idx="98">
                  <c:v>0.0392105608476768</c:v>
                </c:pt>
                <c:pt idx="99">
                  <c:v>0.0392105608476768</c:v>
                </c:pt>
                <c:pt idx="100">
                  <c:v>0.0392105608476768</c:v>
                </c:pt>
                <c:pt idx="101">
                  <c:v>0.0392105608476768</c:v>
                </c:pt>
                <c:pt idx="102">
                  <c:v>0.0392105608476768</c:v>
                </c:pt>
                <c:pt idx="103">
                  <c:v>0.0392105608476768</c:v>
                </c:pt>
                <c:pt idx="104">
                  <c:v>0.0392105608476768</c:v>
                </c:pt>
                <c:pt idx="105">
                  <c:v>0.0392105608476768</c:v>
                </c:pt>
                <c:pt idx="106">
                  <c:v>0.0392105608476768</c:v>
                </c:pt>
                <c:pt idx="107">
                  <c:v>0.0392105608476768</c:v>
                </c:pt>
                <c:pt idx="108">
                  <c:v>0.0392105608476768</c:v>
                </c:pt>
                <c:pt idx="109">
                  <c:v>0.0392105608476768</c:v>
                </c:pt>
                <c:pt idx="110">
                  <c:v>0.0392105608476768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'Part 1 - Qx'!$D$2</c:f>
              <c:strCache>
                <c:ptCount val="1"/>
                <c:pt idx="0">
                  <c:v>Beta (GDML) Qx</c:v>
                </c:pt>
              </c:strCache>
            </c:strRef>
          </c:tx>
          <c:marker>
            <c:symbol val="none"/>
          </c:marker>
          <c:val>
            <c:numRef>
              <c:f>'Part 1 - Qx'!$D$5:$D$115</c:f>
              <c:numCache>
                <c:formatCode>General</c:formatCode>
                <c:ptCount val="111"/>
                <c:pt idx="0">
                  <c:v>0.0270255447032305</c:v>
                </c:pt>
                <c:pt idx="1">
                  <c:v>0.0272712039653165</c:v>
                </c:pt>
                <c:pt idx="2">
                  <c:v>0.0275213699639284</c:v>
                </c:pt>
                <c:pt idx="3">
                  <c:v>0.027776167856965</c:v>
                </c:pt>
                <c:pt idx="4">
                  <c:v>0.0280357274797316</c:v>
                </c:pt>
                <c:pt idx="5">
                  <c:v>0.0283001835654896</c:v>
                </c:pt>
                <c:pt idx="6">
                  <c:v>0.028569675978607</c:v>
                </c:pt>
                <c:pt idx="7">
                  <c:v>0.0288443499611523</c:v>
                </c:pt>
                <c:pt idx="8">
                  <c:v>0.0291243563938454</c:v>
                </c:pt>
                <c:pt idx="9">
                  <c:v>0.0294098520723556</c:v>
                </c:pt>
                <c:pt idx="10">
                  <c:v>0.0297010000000001</c:v>
                </c:pt>
                <c:pt idx="11">
                  <c:v>0.0299979696980002</c:v>
                </c:pt>
                <c:pt idx="12">
                  <c:v>0.0303009375345307</c:v>
                </c:pt>
                <c:pt idx="13">
                  <c:v>0.0306100870739027</c:v>
                </c:pt>
                <c:pt idx="14">
                  <c:v>0.0309256094473379</c:v>
                </c:pt>
                <c:pt idx="15">
                  <c:v>0.031247703746902</c:v>
                </c:pt>
                <c:pt idx="16">
                  <c:v>0.0315765774443041</c:v>
                </c:pt>
                <c:pt idx="17">
                  <c:v>0.0319124468364171</c:v>
                </c:pt>
                <c:pt idx="18">
                  <c:v>0.0322555375195201</c:v>
                </c:pt>
                <c:pt idx="19">
                  <c:v>0.0326060848944558</c:v>
                </c:pt>
                <c:pt idx="20">
                  <c:v>0.0329643347050753</c:v>
                </c:pt>
                <c:pt idx="21">
                  <c:v>0.0333305436125562</c:v>
                </c:pt>
                <c:pt idx="22">
                  <c:v>0.0337049798084147</c:v>
                </c:pt>
                <c:pt idx="23">
                  <c:v>0.0340879236692924</c:v>
                </c:pt>
                <c:pt idx="24">
                  <c:v>0.0344796684568654</c:v>
                </c:pt>
                <c:pt idx="25">
                  <c:v>0.0348805210665579</c:v>
                </c:pt>
                <c:pt idx="26">
                  <c:v>0.035290802829068</c:v>
                </c:pt>
                <c:pt idx="27">
                  <c:v>0.035710850369106</c:v>
                </c:pt>
                <c:pt idx="28">
                  <c:v>0.0361410165261676</c:v>
                </c:pt>
                <c:pt idx="29">
                  <c:v>0.0365816713426327</c:v>
                </c:pt>
                <c:pt idx="30">
                  <c:v>0.0370332031249999</c:v>
                </c:pt>
                <c:pt idx="31">
                  <c:v>0.0374960195846574</c:v>
                </c:pt>
                <c:pt idx="32">
                  <c:v>0.0379705490652234</c:v>
                </c:pt>
                <c:pt idx="33">
                  <c:v>0.0384572418642245</c:v>
                </c:pt>
                <c:pt idx="34">
                  <c:v>0.0389565716576761</c:v>
                </c:pt>
                <c:pt idx="35">
                  <c:v>0.0394690370370368</c:v>
                </c:pt>
                <c:pt idx="36">
                  <c:v>0.0399951631690125</c:v>
                </c:pt>
                <c:pt idx="37">
                  <c:v>0.0405355035898175</c:v>
                </c:pt>
                <c:pt idx="38">
                  <c:v>0.0410906421467763</c:v>
                </c:pt>
                <c:pt idx="39">
                  <c:v>0.0416611951015755</c:v>
                </c:pt>
                <c:pt idx="40">
                  <c:v>0.0422478134110785</c:v>
                </c:pt>
                <c:pt idx="41">
                  <c:v>0.0428511852034494</c:v>
                </c:pt>
                <c:pt idx="42">
                  <c:v>0.0434720384693667</c:v>
                </c:pt>
                <c:pt idx="43">
                  <c:v>0.0441111439904511</c:v>
                </c:pt>
                <c:pt idx="44">
                  <c:v>0.0447693185296492</c:v>
                </c:pt>
                <c:pt idx="45">
                  <c:v>0.0454474283113335</c:v>
                </c:pt>
                <c:pt idx="46">
                  <c:v>0.0461463928222656</c:v>
                </c:pt>
                <c:pt idx="47">
                  <c:v>0.0468671889684741</c:v>
                </c:pt>
                <c:pt idx="48">
                  <c:v>0.0476108556275384</c:v>
                </c:pt>
                <c:pt idx="49">
                  <c:v>0.0483784986408554</c:v>
                </c:pt>
                <c:pt idx="50">
                  <c:v>0.0491712962962963</c:v>
                </c:pt>
                <c:pt idx="51">
                  <c:v>0.0499905053583861</c:v>
                </c:pt>
                <c:pt idx="52">
                  <c:v>0.0508374677108533</c:v>
                </c:pt>
                <c:pt idx="53">
                  <c:v>0.0517136176853339</c:v>
                </c:pt>
                <c:pt idx="54">
                  <c:v>0.05262049016035</c:v>
                </c:pt>
                <c:pt idx="55">
                  <c:v>0.0535597295266716</c:v>
                </c:pt>
                <c:pt idx="56">
                  <c:v>0.0545330996291214</c:v>
                </c:pt>
                <c:pt idx="57">
                  <c:v>0.0555424948111528</c:v>
                </c:pt>
                <c:pt idx="58">
                  <c:v>0.0565899522075559</c:v>
                </c:pt>
                <c:pt idx="59">
                  <c:v>0.0576776654529556</c:v>
                </c:pt>
                <c:pt idx="60">
                  <c:v>0.0588080000000001</c:v>
                </c:pt>
                <c:pt idx="61">
                  <c:v>0.0599835102720806</c:v>
                </c:pt>
                <c:pt idx="62">
                  <c:v>0.0612069589120371</c:v>
                </c:pt>
                <c:pt idx="63">
                  <c:v>0.0624813384317541</c:v>
                </c:pt>
                <c:pt idx="64">
                  <c:v>0.063809895619298</c:v>
                </c:pt>
                <c:pt idx="65">
                  <c:v>0.0651961591220851</c:v>
                </c:pt>
                <c:pt idx="66">
                  <c:v>0.0666439706987227</c:v>
                </c:pt>
                <c:pt idx="67">
                  <c:v>0.068157520721446</c:v>
                </c:pt>
                <c:pt idx="68">
                  <c:v>0.0697413886189397</c:v>
                </c:pt>
                <c:pt idx="69">
                  <c:v>0.0714005890802514</c:v>
                </c:pt>
                <c:pt idx="70">
                  <c:v>0.0731406250000001</c:v>
                </c:pt>
                <c:pt idx="71">
                  <c:v>0.0749675483403294</c:v>
                </c:pt>
                <c:pt idx="72">
                  <c:v>0.0768880303251201</c:v>
                </c:pt>
                <c:pt idx="73">
                  <c:v>0.0789094426786171</c:v>
                </c:pt>
                <c:pt idx="74">
                  <c:v>0.0810399519890261</c:v>
                </c:pt>
                <c:pt idx="75">
                  <c:v>0.0832886297376093</c:v>
                </c:pt>
                <c:pt idx="76">
                  <c:v>0.0856655811113374</c:v>
                </c:pt>
                <c:pt idx="77">
                  <c:v>0.0881820964465591</c:v>
                </c:pt>
                <c:pt idx="78">
                  <c:v>0.090850830078125</c:v>
                </c:pt>
                <c:pt idx="79">
                  <c:v>0.093686012554127</c:v>
                </c:pt>
                <c:pt idx="80">
                  <c:v>0.0967037037037037</c:v>
                </c:pt>
                <c:pt idx="81">
                  <c:v>0.0999220960268971</c:v>
                </c:pt>
                <c:pt idx="82">
                  <c:v>0.103361880466472</c:v>
                </c:pt>
                <c:pt idx="83">
                  <c:v>0.107046690037088</c:v>
                </c:pt>
                <c:pt idx="84">
                  <c:v>0.111003641329085</c:v>
                </c:pt>
                <c:pt idx="85">
                  <c:v>0.115264</c:v>
                </c:pt>
                <c:pt idx="86">
                  <c:v>0.119864004629629</c:v>
                </c:pt>
                <c:pt idx="87">
                  <c:v>0.124845894633024</c:v>
                </c:pt>
                <c:pt idx="88">
                  <c:v>0.130259203606311</c:v>
                </c:pt>
                <c:pt idx="89">
                  <c:v>0.136162401468524</c:v>
                </c:pt>
                <c:pt idx="90">
                  <c:v>0.142625</c:v>
                </c:pt>
                <c:pt idx="91">
                  <c:v>0.149730281382126</c:v>
                </c:pt>
                <c:pt idx="92">
                  <c:v>0.157578875171468</c:v>
                </c:pt>
                <c:pt idx="93">
                  <c:v>0.166293507022186</c:v>
                </c:pt>
                <c:pt idx="94">
                  <c:v>0.176025390625</c:v>
                </c:pt>
                <c:pt idx="95">
                  <c:v>0.186962962962963</c:v>
                </c:pt>
                <c:pt idx="96">
                  <c:v>0.199344023323615</c:v>
                </c:pt>
                <c:pt idx="97">
                  <c:v>0.213472917614929</c:v>
                </c:pt>
                <c:pt idx="98">
                  <c:v>0.22974537037037</c:v>
                </c:pt>
                <c:pt idx="99">
                  <c:v>0.248685199098422</c:v>
                </c:pt>
                <c:pt idx="100">
                  <c:v>0.271</c:v>
                </c:pt>
                <c:pt idx="101">
                  <c:v>0.297668038408779</c:v>
                </c:pt>
                <c:pt idx="102">
                  <c:v>0.330078125</c:v>
                </c:pt>
                <c:pt idx="103">
                  <c:v>0.370262390670554</c:v>
                </c:pt>
                <c:pt idx="104">
                  <c:v>0.421296296296296</c:v>
                </c:pt>
                <c:pt idx="105">
                  <c:v>0.488</c:v>
                </c:pt>
                <c:pt idx="106">
                  <c:v>0.578125</c:v>
                </c:pt>
                <c:pt idx="107">
                  <c:v>0.703703703703704</c:v>
                </c:pt>
                <c:pt idx="108">
                  <c:v>0.875</c:v>
                </c:pt>
                <c:pt idx="109">
                  <c:v>1.0</c:v>
                </c:pt>
                <c:pt idx="110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629881696"/>
        <c:axId val="-1629878864"/>
      </c:lineChart>
      <c:catAx>
        <c:axId val="-1629881696"/>
        <c:scaling>
          <c:orientation val="minMax"/>
        </c:scaling>
        <c:delete val="0"/>
        <c:axPos val="b"/>
        <c:majorTickMark val="out"/>
        <c:minorTickMark val="none"/>
        <c:tickLblPos val="nextTo"/>
        <c:crossAx val="-1629878864"/>
        <c:crosses val="autoZero"/>
        <c:auto val="1"/>
        <c:lblAlgn val="ctr"/>
        <c:lblOffset val="100"/>
        <c:noMultiLvlLbl val="0"/>
      </c:catAx>
      <c:valAx>
        <c:axId val="-1629878864"/>
        <c:scaling>
          <c:orientation val="minMax"/>
          <c:max val="1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6298816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228600</xdr:colOff>
      <xdr:row>4</xdr:row>
      <xdr:rowOff>158750</xdr:rowOff>
    </xdr:from>
    <xdr:to>
      <xdr:col>13</xdr:col>
      <xdr:colOff>139700</xdr:colOff>
      <xdr:row>24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G115"/>
  <sheetViews>
    <sheetView workbookViewId="0"/>
  </sheetViews>
  <sheetFormatPr baseColWidth="10" defaultRowHeight="16" x14ac:dyDescent="0.2"/>
  <cols>
    <col min="3" max="3" width="17.33203125" customWidth="1"/>
    <col min="4" max="4" width="14.83203125" customWidth="1"/>
    <col min="5" max="5" width="16.1640625" bestFit="1" customWidth="1"/>
  </cols>
  <sheetData>
    <row r="1" spans="1:7" x14ac:dyDescent="0.2">
      <c r="A1" s="2" t="s">
        <v>1</v>
      </c>
      <c r="C1" s="2" t="s">
        <v>2</v>
      </c>
    </row>
    <row r="2" spans="1:7" x14ac:dyDescent="0.2">
      <c r="B2" t="s">
        <v>13</v>
      </c>
      <c r="C2" t="s">
        <v>16</v>
      </c>
      <c r="D2" t="s">
        <v>17</v>
      </c>
      <c r="E2" t="s">
        <v>14</v>
      </c>
      <c r="G2" s="2" t="s">
        <v>3</v>
      </c>
    </row>
    <row r="3" spans="1:7" x14ac:dyDescent="0.2">
      <c r="C3">
        <v>110</v>
      </c>
      <c r="D3">
        <v>110</v>
      </c>
      <c r="E3">
        <v>0.04</v>
      </c>
      <c r="G3" t="s">
        <v>15</v>
      </c>
    </row>
    <row r="4" spans="1:7" x14ac:dyDescent="0.2">
      <c r="A4" t="s">
        <v>0</v>
      </c>
      <c r="D4">
        <v>3</v>
      </c>
    </row>
    <row r="5" spans="1:7" x14ac:dyDescent="0.2">
      <c r="A5">
        <v>0</v>
      </c>
      <c r="B5">
        <v>2.0420000000000001E-2</v>
      </c>
      <c r="C5" s="18">
        <f>1/($C$3-A5)</f>
        <v>9.0909090909090905E-3</v>
      </c>
      <c r="D5" s="19">
        <f>1-(($D$3-A5-1)/($D$3-A5))^$D$4</f>
        <v>2.7025544703230486E-2</v>
      </c>
      <c r="E5" s="20">
        <f>1-EXP(-0.04)</f>
        <v>3.9210560847676823E-2</v>
      </c>
      <c r="G5" s="1"/>
    </row>
    <row r="6" spans="1:7" x14ac:dyDescent="0.2">
      <c r="A6">
        <v>1</v>
      </c>
      <c r="B6">
        <f>B5</f>
        <v>2.0420000000000001E-2</v>
      </c>
      <c r="C6" s="21">
        <f t="shared" ref="C6:C69" si="0">1/($C$3-A6)</f>
        <v>9.1743119266055051E-3</v>
      </c>
      <c r="D6" s="22">
        <f t="shared" ref="D6:D69" si="1">1-(($D$3-A6-1)/($D$3-A6))^$D$4</f>
        <v>2.727120396531646E-2</v>
      </c>
      <c r="E6" s="23">
        <f t="shared" ref="E6:E69" si="2">1-EXP(-0.04)</f>
        <v>3.9210560847676823E-2</v>
      </c>
      <c r="G6" s="1"/>
    </row>
    <row r="7" spans="1:7" x14ac:dyDescent="0.2">
      <c r="A7">
        <v>2</v>
      </c>
      <c r="B7">
        <f t="shared" ref="B7:B9" si="3">B6</f>
        <v>2.0420000000000001E-2</v>
      </c>
      <c r="C7" s="21">
        <f t="shared" si="0"/>
        <v>9.2592592592592587E-3</v>
      </c>
      <c r="D7" s="22">
        <f t="shared" si="1"/>
        <v>2.7521369963928399E-2</v>
      </c>
      <c r="E7" s="23">
        <f t="shared" si="2"/>
        <v>3.9210560847676823E-2</v>
      </c>
      <c r="G7" s="1"/>
    </row>
    <row r="8" spans="1:7" x14ac:dyDescent="0.2">
      <c r="A8">
        <v>3</v>
      </c>
      <c r="B8">
        <f t="shared" si="3"/>
        <v>2.0420000000000001E-2</v>
      </c>
      <c r="C8" s="21">
        <f t="shared" si="0"/>
        <v>9.3457943925233638E-3</v>
      </c>
      <c r="D8" s="22">
        <f t="shared" si="1"/>
        <v>2.7776167856965017E-2</v>
      </c>
      <c r="E8" s="23">
        <f t="shared" si="2"/>
        <v>3.9210560847676823E-2</v>
      </c>
      <c r="G8" s="1"/>
    </row>
    <row r="9" spans="1:7" x14ac:dyDescent="0.2">
      <c r="A9">
        <v>4</v>
      </c>
      <c r="B9">
        <f t="shared" si="3"/>
        <v>2.0420000000000001E-2</v>
      </c>
      <c r="C9" s="21">
        <f t="shared" si="0"/>
        <v>9.433962264150943E-3</v>
      </c>
      <c r="D9" s="22">
        <f t="shared" si="1"/>
        <v>2.8035727479731598E-2</v>
      </c>
      <c r="E9" s="23">
        <f t="shared" si="2"/>
        <v>3.9210560847676823E-2</v>
      </c>
      <c r="G9" s="1"/>
    </row>
    <row r="10" spans="1:7" x14ac:dyDescent="0.2">
      <c r="A10">
        <v>5</v>
      </c>
      <c r="B10">
        <v>9.7999999999999997E-4</v>
      </c>
      <c r="C10" s="21">
        <f t="shared" si="0"/>
        <v>9.5238095238095247E-3</v>
      </c>
      <c r="D10" s="22">
        <f t="shared" si="1"/>
        <v>2.8300183565489578E-2</v>
      </c>
      <c r="E10" s="23">
        <f t="shared" si="2"/>
        <v>3.9210560847676823E-2</v>
      </c>
      <c r="G10" s="1"/>
    </row>
    <row r="11" spans="1:7" x14ac:dyDescent="0.2">
      <c r="A11">
        <v>6</v>
      </c>
      <c r="B11">
        <f>B10</f>
        <v>9.7999999999999997E-4</v>
      </c>
      <c r="C11" s="21">
        <f t="shared" si="0"/>
        <v>9.6153846153846159E-3</v>
      </c>
      <c r="D11" s="22">
        <f t="shared" si="1"/>
        <v>2.8569675978607045E-2</v>
      </c>
      <c r="E11" s="23">
        <f t="shared" si="2"/>
        <v>3.9210560847676823E-2</v>
      </c>
      <c r="G11" s="1"/>
    </row>
    <row r="12" spans="1:7" x14ac:dyDescent="0.2">
      <c r="A12">
        <v>7</v>
      </c>
      <c r="B12">
        <f t="shared" ref="B12:B14" si="4">B11</f>
        <v>9.7999999999999997E-4</v>
      </c>
      <c r="C12" s="21">
        <f t="shared" si="0"/>
        <v>9.7087378640776691E-3</v>
      </c>
      <c r="D12" s="22">
        <f t="shared" si="1"/>
        <v>2.884434996115226E-2</v>
      </c>
      <c r="E12" s="23">
        <f t="shared" si="2"/>
        <v>3.9210560847676823E-2</v>
      </c>
      <c r="G12" s="1"/>
    </row>
    <row r="13" spans="1:7" x14ac:dyDescent="0.2">
      <c r="A13">
        <v>8</v>
      </c>
      <c r="B13">
        <f t="shared" si="4"/>
        <v>9.7999999999999997E-4</v>
      </c>
      <c r="C13" s="21">
        <f t="shared" si="0"/>
        <v>9.8039215686274508E-3</v>
      </c>
      <c r="D13" s="22">
        <f t="shared" si="1"/>
        <v>2.9124356393845363E-2</v>
      </c>
      <c r="E13" s="23">
        <f t="shared" si="2"/>
        <v>3.9210560847676823E-2</v>
      </c>
      <c r="G13" s="1"/>
    </row>
    <row r="14" spans="1:7" x14ac:dyDescent="0.2">
      <c r="A14">
        <v>9</v>
      </c>
      <c r="B14">
        <f t="shared" si="4"/>
        <v>9.7999999999999997E-4</v>
      </c>
      <c r="C14" s="21">
        <f t="shared" si="0"/>
        <v>9.9009900990099011E-3</v>
      </c>
      <c r="D14" s="22">
        <f t="shared" si="1"/>
        <v>2.940985207235558E-2</v>
      </c>
      <c r="E14" s="23">
        <f t="shared" si="2"/>
        <v>3.9210560847676823E-2</v>
      </c>
      <c r="G14" s="1"/>
    </row>
    <row r="15" spans="1:7" x14ac:dyDescent="0.2">
      <c r="A15">
        <v>10</v>
      </c>
      <c r="B15">
        <v>8.4999999999999995E-4</v>
      </c>
      <c r="C15" s="21">
        <f t="shared" si="0"/>
        <v>0.01</v>
      </c>
      <c r="D15" s="22">
        <f t="shared" si="1"/>
        <v>2.9701000000000088E-2</v>
      </c>
      <c r="E15" s="23">
        <f t="shared" si="2"/>
        <v>3.9210560847676823E-2</v>
      </c>
      <c r="G15" s="1"/>
    </row>
    <row r="16" spans="1:7" x14ac:dyDescent="0.2">
      <c r="A16">
        <v>11</v>
      </c>
      <c r="B16">
        <f>B15</f>
        <v>8.4999999999999995E-4</v>
      </c>
      <c r="C16" s="21">
        <f t="shared" si="0"/>
        <v>1.0101010101010102E-2</v>
      </c>
      <c r="D16" s="22">
        <f t="shared" si="1"/>
        <v>2.9997969698000171E-2</v>
      </c>
      <c r="E16" s="23">
        <f t="shared" si="2"/>
        <v>3.9210560847676823E-2</v>
      </c>
      <c r="G16" s="1"/>
    </row>
    <row r="17" spans="1:7" x14ac:dyDescent="0.2">
      <c r="A17">
        <v>12</v>
      </c>
      <c r="B17">
        <f t="shared" ref="B17:B19" si="5">B16</f>
        <v>8.4999999999999995E-4</v>
      </c>
      <c r="C17" s="21">
        <f t="shared" si="0"/>
        <v>1.020408163265306E-2</v>
      </c>
      <c r="D17" s="22">
        <f t="shared" si="1"/>
        <v>3.030093753453067E-2</v>
      </c>
      <c r="E17" s="23">
        <f t="shared" si="2"/>
        <v>3.9210560847676823E-2</v>
      </c>
      <c r="G17" s="1"/>
    </row>
    <row r="18" spans="1:7" x14ac:dyDescent="0.2">
      <c r="A18">
        <v>13</v>
      </c>
      <c r="B18">
        <f t="shared" si="5"/>
        <v>8.4999999999999995E-4</v>
      </c>
      <c r="C18" s="21">
        <f t="shared" si="0"/>
        <v>1.0309278350515464E-2</v>
      </c>
      <c r="D18" s="22">
        <f t="shared" si="1"/>
        <v>3.061008707390267E-2</v>
      </c>
      <c r="E18" s="23">
        <f t="shared" si="2"/>
        <v>3.9210560847676823E-2</v>
      </c>
      <c r="G18" s="1"/>
    </row>
    <row r="19" spans="1:7" x14ac:dyDescent="0.2">
      <c r="A19">
        <v>14</v>
      </c>
      <c r="B19">
        <f t="shared" si="5"/>
        <v>8.4999999999999995E-4</v>
      </c>
      <c r="C19" s="21">
        <f t="shared" si="0"/>
        <v>1.0416666666666666E-2</v>
      </c>
      <c r="D19" s="22">
        <f t="shared" si="1"/>
        <v>3.092560944733791E-2</v>
      </c>
      <c r="E19" s="23">
        <f t="shared" si="2"/>
        <v>3.9210560847676823E-2</v>
      </c>
      <c r="G19" s="1"/>
    </row>
    <row r="20" spans="1:7" x14ac:dyDescent="0.2">
      <c r="A20">
        <v>15</v>
      </c>
      <c r="B20">
        <v>9.1E-4</v>
      </c>
      <c r="C20" s="21">
        <f t="shared" si="0"/>
        <v>1.0526315789473684E-2</v>
      </c>
      <c r="D20" s="22">
        <f t="shared" si="1"/>
        <v>3.1247703746902E-2</v>
      </c>
      <c r="E20" s="23">
        <f t="shared" si="2"/>
        <v>3.9210560847676823E-2</v>
      </c>
      <c r="G20" s="1"/>
    </row>
    <row r="21" spans="1:7" x14ac:dyDescent="0.2">
      <c r="A21">
        <v>16</v>
      </c>
      <c r="B21">
        <f>B20</f>
        <v>9.1E-4</v>
      </c>
      <c r="C21" s="21">
        <f t="shared" si="0"/>
        <v>1.0638297872340425E-2</v>
      </c>
      <c r="D21" s="22">
        <f t="shared" si="1"/>
        <v>3.1576577444304088E-2</v>
      </c>
      <c r="E21" s="23">
        <f t="shared" si="2"/>
        <v>3.9210560847676823E-2</v>
      </c>
      <c r="G21" s="1"/>
    </row>
    <row r="22" spans="1:7" x14ac:dyDescent="0.2">
      <c r="A22">
        <v>17</v>
      </c>
      <c r="B22">
        <f t="shared" ref="B22:B23" si="6">B21</f>
        <v>9.1E-4</v>
      </c>
      <c r="C22" s="21">
        <f t="shared" si="0"/>
        <v>1.0752688172043012E-2</v>
      </c>
      <c r="D22" s="22">
        <f t="shared" si="1"/>
        <v>3.1912446836417141E-2</v>
      </c>
      <c r="E22" s="23">
        <f t="shared" si="2"/>
        <v>3.9210560847676823E-2</v>
      </c>
      <c r="G22" s="1"/>
    </row>
    <row r="23" spans="1:7" x14ac:dyDescent="0.2">
      <c r="A23">
        <v>18</v>
      </c>
      <c r="B23">
        <f t="shared" si="6"/>
        <v>9.1E-4</v>
      </c>
      <c r="C23" s="21">
        <f t="shared" si="0"/>
        <v>1.0869565217391304E-2</v>
      </c>
      <c r="D23" s="22">
        <f t="shared" si="1"/>
        <v>3.225553751952015E-2</v>
      </c>
      <c r="E23" s="23">
        <f t="shared" si="2"/>
        <v>3.9210560847676823E-2</v>
      </c>
    </row>
    <row r="24" spans="1:7" x14ac:dyDescent="0.2">
      <c r="A24">
        <v>19</v>
      </c>
      <c r="B24">
        <f>B23</f>
        <v>9.1E-4</v>
      </c>
      <c r="C24" s="21">
        <f t="shared" si="0"/>
        <v>1.098901098901099E-2</v>
      </c>
      <c r="D24" s="22">
        <f t="shared" si="1"/>
        <v>3.2606084894455822E-2</v>
      </c>
      <c r="E24" s="23">
        <f t="shared" si="2"/>
        <v>3.9210560847676823E-2</v>
      </c>
    </row>
    <row r="25" spans="1:7" x14ac:dyDescent="0.2">
      <c r="A25">
        <v>20</v>
      </c>
      <c r="B25">
        <v>1.0300000000000001E-3</v>
      </c>
      <c r="C25" s="21">
        <f t="shared" si="0"/>
        <v>1.1111111111111112E-2</v>
      </c>
      <c r="D25" s="22">
        <f t="shared" si="1"/>
        <v>3.2964334705075315E-2</v>
      </c>
      <c r="E25" s="23">
        <f t="shared" si="2"/>
        <v>3.9210560847676823E-2</v>
      </c>
      <c r="G25" s="1"/>
    </row>
    <row r="26" spans="1:7" x14ac:dyDescent="0.2">
      <c r="A26">
        <v>21</v>
      </c>
      <c r="B26">
        <v>1.06E-3</v>
      </c>
      <c r="C26" s="21">
        <f t="shared" si="0"/>
        <v>1.1235955056179775E-2</v>
      </c>
      <c r="D26" s="22">
        <f t="shared" si="1"/>
        <v>3.3330543612556163E-2</v>
      </c>
      <c r="E26" s="23">
        <f t="shared" si="2"/>
        <v>3.9210560847676823E-2</v>
      </c>
      <c r="G26" s="1"/>
    </row>
    <row r="27" spans="1:7" x14ac:dyDescent="0.2">
      <c r="A27">
        <v>22</v>
      </c>
      <c r="B27">
        <v>1.1000000000000001E-3</v>
      </c>
      <c r="C27" s="21">
        <f t="shared" si="0"/>
        <v>1.1363636363636364E-2</v>
      </c>
      <c r="D27" s="22">
        <f t="shared" si="1"/>
        <v>3.3704979808414692E-2</v>
      </c>
      <c r="E27" s="23">
        <f t="shared" si="2"/>
        <v>3.9210560847676823E-2</v>
      </c>
      <c r="G27" s="46" t="s">
        <v>4</v>
      </c>
    </row>
    <row r="28" spans="1:7" x14ac:dyDescent="0.2">
      <c r="A28">
        <v>23</v>
      </c>
      <c r="B28">
        <v>1.1299999999999999E-3</v>
      </c>
      <c r="C28" s="21">
        <f t="shared" si="0"/>
        <v>1.1494252873563218E-2</v>
      </c>
      <c r="D28" s="22">
        <f t="shared" si="1"/>
        <v>3.4087923669292364E-2</v>
      </c>
      <c r="E28" s="23">
        <f t="shared" si="2"/>
        <v>3.9210560847676823E-2</v>
      </c>
      <c r="G28" s="3" t="s">
        <v>5</v>
      </c>
    </row>
    <row r="29" spans="1:7" x14ac:dyDescent="0.2">
      <c r="A29">
        <v>24</v>
      </c>
      <c r="B29">
        <v>1.1799999999999998E-3</v>
      </c>
      <c r="C29" s="21">
        <f t="shared" si="0"/>
        <v>1.1627906976744186E-2</v>
      </c>
      <c r="D29" s="22">
        <f t="shared" si="1"/>
        <v>3.4479668456865453E-2</v>
      </c>
      <c r="E29" s="23">
        <f t="shared" si="2"/>
        <v>3.9210560847676823E-2</v>
      </c>
      <c r="G29" s="1"/>
    </row>
    <row r="30" spans="1:7" x14ac:dyDescent="0.2">
      <c r="A30">
        <v>25</v>
      </c>
      <c r="B30">
        <v>1.2199999999999999E-3</v>
      </c>
      <c r="C30" s="21">
        <f t="shared" si="0"/>
        <v>1.1764705882352941E-2</v>
      </c>
      <c r="D30" s="22">
        <f t="shared" si="1"/>
        <v>3.4880521066557924E-2</v>
      </c>
      <c r="E30" s="23">
        <f t="shared" si="2"/>
        <v>3.9210560847676823E-2</v>
      </c>
      <c r="G30" s="1" t="s">
        <v>42</v>
      </c>
    </row>
    <row r="31" spans="1:7" x14ac:dyDescent="0.2">
      <c r="A31">
        <v>26</v>
      </c>
      <c r="B31">
        <v>1.2700000000000001E-3</v>
      </c>
      <c r="C31" s="21">
        <f t="shared" si="0"/>
        <v>1.1904761904761904E-2</v>
      </c>
      <c r="D31" s="22">
        <f t="shared" si="1"/>
        <v>3.5290802829068046E-2</v>
      </c>
      <c r="E31" s="23">
        <f t="shared" si="2"/>
        <v>3.9210560847676823E-2</v>
      </c>
      <c r="G31" s="1" t="s">
        <v>40</v>
      </c>
    </row>
    <row r="32" spans="1:7" x14ac:dyDescent="0.2">
      <c r="A32">
        <v>27</v>
      </c>
      <c r="B32">
        <v>1.33E-3</v>
      </c>
      <c r="C32" s="21">
        <f t="shared" si="0"/>
        <v>1.2048192771084338E-2</v>
      </c>
      <c r="D32" s="22">
        <f t="shared" si="1"/>
        <v>3.571085036910604E-2</v>
      </c>
      <c r="E32" s="23">
        <f t="shared" si="2"/>
        <v>3.9210560847676823E-2</v>
      </c>
      <c r="G32" s="1" t="s">
        <v>41</v>
      </c>
    </row>
    <row r="33" spans="1:7" x14ac:dyDescent="0.2">
      <c r="A33">
        <v>28</v>
      </c>
      <c r="B33">
        <v>1.39E-3</v>
      </c>
      <c r="C33" s="21">
        <f t="shared" si="0"/>
        <v>1.2195121951219513E-2</v>
      </c>
      <c r="D33" s="22">
        <f t="shared" si="1"/>
        <v>3.6141016526167635E-2</v>
      </c>
      <c r="E33" s="23">
        <f t="shared" si="2"/>
        <v>3.9210560847676823E-2</v>
      </c>
      <c r="G33" s="1"/>
    </row>
    <row r="34" spans="1:7" x14ac:dyDescent="0.2">
      <c r="A34">
        <v>29</v>
      </c>
      <c r="B34">
        <v>1.4599999999999999E-3</v>
      </c>
      <c r="C34" s="21">
        <f t="shared" si="0"/>
        <v>1.2345679012345678E-2</v>
      </c>
      <c r="D34" s="22">
        <f t="shared" si="1"/>
        <v>3.6581671342632682E-2</v>
      </c>
      <c r="E34" s="23">
        <f t="shared" si="2"/>
        <v>3.9210560847676823E-2</v>
      </c>
      <c r="G34" s="51" t="s">
        <v>64</v>
      </c>
    </row>
    <row r="35" spans="1:7" x14ac:dyDescent="0.2">
      <c r="A35">
        <v>30</v>
      </c>
      <c r="B35">
        <v>1.5300000000000001E-3</v>
      </c>
      <c r="C35" s="21">
        <f t="shared" si="0"/>
        <v>1.2500000000000001E-2</v>
      </c>
      <c r="D35" s="22">
        <f t="shared" si="1"/>
        <v>3.7033203124999914E-2</v>
      </c>
      <c r="E35" s="23">
        <f t="shared" si="2"/>
        <v>3.9210560847676823E-2</v>
      </c>
      <c r="G35" s="1"/>
    </row>
    <row r="36" spans="1:7" x14ac:dyDescent="0.2">
      <c r="A36">
        <v>31</v>
      </c>
      <c r="B36">
        <v>1.6100000000000001E-3</v>
      </c>
      <c r="C36" s="21">
        <f t="shared" si="0"/>
        <v>1.2658227848101266E-2</v>
      </c>
      <c r="D36" s="22">
        <f t="shared" si="1"/>
        <v>3.7496019584657425E-2</v>
      </c>
      <c r="E36" s="23">
        <f t="shared" si="2"/>
        <v>3.9210560847676823E-2</v>
      </c>
      <c r="G36" s="1"/>
    </row>
    <row r="37" spans="1:7" x14ac:dyDescent="0.2">
      <c r="A37">
        <v>32</v>
      </c>
      <c r="B37">
        <v>1.6999999999999999E-3</v>
      </c>
      <c r="C37" s="21">
        <f t="shared" si="0"/>
        <v>1.282051282051282E-2</v>
      </c>
      <c r="D37" s="22">
        <f t="shared" si="1"/>
        <v>3.7970549065223458E-2</v>
      </c>
      <c r="E37" s="23">
        <f t="shared" si="2"/>
        <v>3.9210560847676823E-2</v>
      </c>
      <c r="G37" s="1"/>
    </row>
    <row r="38" spans="1:7" x14ac:dyDescent="0.2">
      <c r="A38">
        <v>33</v>
      </c>
      <c r="B38">
        <v>1.7900000000000001E-3</v>
      </c>
      <c r="C38" s="21">
        <f t="shared" si="0"/>
        <v>1.2987012987012988E-2</v>
      </c>
      <c r="D38" s="22">
        <f t="shared" si="1"/>
        <v>3.8457241864224501E-2</v>
      </c>
      <c r="E38" s="23">
        <f t="shared" si="2"/>
        <v>3.9210560847676823E-2</v>
      </c>
      <c r="G38" s="1"/>
    </row>
    <row r="39" spans="1:7" x14ac:dyDescent="0.2">
      <c r="A39">
        <v>34</v>
      </c>
      <c r="B39">
        <v>1.9E-3</v>
      </c>
      <c r="C39" s="21">
        <f t="shared" si="0"/>
        <v>1.3157894736842105E-2</v>
      </c>
      <c r="D39" s="22">
        <f t="shared" si="1"/>
        <v>3.8956571657676076E-2</v>
      </c>
      <c r="E39" s="23">
        <f t="shared" si="2"/>
        <v>3.9210560847676823E-2</v>
      </c>
      <c r="G39" s="1"/>
    </row>
    <row r="40" spans="1:7" x14ac:dyDescent="0.2">
      <c r="A40">
        <v>35</v>
      </c>
      <c r="B40">
        <v>2.0099999999999996E-3</v>
      </c>
      <c r="C40" s="21">
        <f t="shared" si="0"/>
        <v>1.3333333333333334E-2</v>
      </c>
      <c r="D40" s="22">
        <f t="shared" si="1"/>
        <v>3.9469037037036858E-2</v>
      </c>
      <c r="E40" s="23">
        <f t="shared" si="2"/>
        <v>3.9210560847676823E-2</v>
      </c>
      <c r="G40" s="1"/>
    </row>
    <row r="41" spans="1:7" x14ac:dyDescent="0.2">
      <c r="A41">
        <v>36</v>
      </c>
      <c r="B41">
        <v>2.14E-3</v>
      </c>
      <c r="C41" s="21">
        <f t="shared" si="0"/>
        <v>1.3513513513513514E-2</v>
      </c>
      <c r="D41" s="22">
        <f t="shared" si="1"/>
        <v>3.9995163169012526E-2</v>
      </c>
      <c r="E41" s="23">
        <f t="shared" si="2"/>
        <v>3.9210560847676823E-2</v>
      </c>
      <c r="G41" s="1"/>
    </row>
    <row r="42" spans="1:7" x14ac:dyDescent="0.2">
      <c r="A42">
        <v>37</v>
      </c>
      <c r="B42">
        <v>2.2799999999999999E-3</v>
      </c>
      <c r="C42" s="21">
        <f t="shared" si="0"/>
        <v>1.3698630136986301E-2</v>
      </c>
      <c r="D42" s="22">
        <f t="shared" si="1"/>
        <v>4.0535503589817501E-2</v>
      </c>
      <c r="E42" s="23">
        <f t="shared" si="2"/>
        <v>3.9210560847676823E-2</v>
      </c>
      <c r="G42" s="1"/>
    </row>
    <row r="43" spans="1:7" x14ac:dyDescent="0.2">
      <c r="A43">
        <v>38</v>
      </c>
      <c r="B43">
        <v>2.4300000000000003E-3</v>
      </c>
      <c r="C43" s="21">
        <f t="shared" si="0"/>
        <v>1.3888888888888888E-2</v>
      </c>
      <c r="D43" s="22">
        <f t="shared" si="1"/>
        <v>4.1090642146776268E-2</v>
      </c>
      <c r="E43" s="23">
        <f t="shared" si="2"/>
        <v>3.9210560847676823E-2</v>
      </c>
      <c r="G43" s="1"/>
    </row>
    <row r="44" spans="1:7" x14ac:dyDescent="0.2">
      <c r="A44">
        <v>39</v>
      </c>
      <c r="B44">
        <v>2.5999999999999999E-3</v>
      </c>
      <c r="C44" s="21">
        <f t="shared" si="0"/>
        <v>1.4084507042253521E-2</v>
      </c>
      <c r="D44" s="22">
        <f t="shared" si="1"/>
        <v>4.166119510157551E-2</v>
      </c>
      <c r="E44" s="23">
        <f t="shared" si="2"/>
        <v>3.9210560847676823E-2</v>
      </c>
      <c r="G44" s="1"/>
    </row>
    <row r="45" spans="1:7" x14ac:dyDescent="0.2">
      <c r="A45">
        <v>40</v>
      </c>
      <c r="B45">
        <v>2.7799999999999999E-3</v>
      </c>
      <c r="C45" s="21">
        <f t="shared" si="0"/>
        <v>1.4285714285714285E-2</v>
      </c>
      <c r="D45" s="22">
        <f t="shared" si="1"/>
        <v>4.2247813411078528E-2</v>
      </c>
      <c r="E45" s="23">
        <f t="shared" si="2"/>
        <v>3.9210560847676823E-2</v>
      </c>
      <c r="G45" s="1"/>
    </row>
    <row r="46" spans="1:7" x14ac:dyDescent="0.2">
      <c r="A46">
        <v>41</v>
      </c>
      <c r="B46">
        <v>2.98E-3</v>
      </c>
      <c r="C46" s="21">
        <f t="shared" si="0"/>
        <v>1.4492753623188406E-2</v>
      </c>
      <c r="D46" s="22">
        <f t="shared" si="1"/>
        <v>4.2851185203449438E-2</v>
      </c>
      <c r="E46" s="23">
        <f t="shared" si="2"/>
        <v>3.9210560847676823E-2</v>
      </c>
      <c r="G46" s="1"/>
    </row>
    <row r="47" spans="1:7" x14ac:dyDescent="0.2">
      <c r="A47">
        <v>42</v>
      </c>
      <c r="B47">
        <v>3.2000000000000002E-3</v>
      </c>
      <c r="C47" s="21">
        <f t="shared" si="0"/>
        <v>1.4705882352941176E-2</v>
      </c>
      <c r="D47" s="22">
        <f t="shared" si="1"/>
        <v>4.3472038469366758E-2</v>
      </c>
      <c r="E47" s="23">
        <f t="shared" si="2"/>
        <v>3.9210560847676823E-2</v>
      </c>
      <c r="G47" s="1"/>
    </row>
    <row r="48" spans="1:7" x14ac:dyDescent="0.2">
      <c r="A48">
        <v>43</v>
      </c>
      <c r="B48">
        <v>3.4399999999999999E-3</v>
      </c>
      <c r="C48" s="21">
        <f t="shared" si="0"/>
        <v>1.4925373134328358E-2</v>
      </c>
      <c r="D48" s="22">
        <f t="shared" si="1"/>
        <v>4.4111143990451129E-2</v>
      </c>
      <c r="E48" s="23">
        <f t="shared" si="2"/>
        <v>3.9210560847676823E-2</v>
      </c>
      <c r="G48" s="1"/>
    </row>
    <row r="49" spans="1:7" x14ac:dyDescent="0.2">
      <c r="A49">
        <v>44</v>
      </c>
      <c r="B49">
        <v>3.7099999999999998E-3</v>
      </c>
      <c r="C49" s="21">
        <f t="shared" si="0"/>
        <v>1.5151515151515152E-2</v>
      </c>
      <c r="D49" s="22">
        <f t="shared" si="1"/>
        <v>4.476931852964916E-2</v>
      </c>
      <c r="E49" s="23">
        <f t="shared" si="2"/>
        <v>3.9210560847676823E-2</v>
      </c>
      <c r="G49" s="1"/>
    </row>
    <row r="50" spans="1:7" x14ac:dyDescent="0.2">
      <c r="A50">
        <v>45</v>
      </c>
      <c r="B50">
        <v>4.0000000000000001E-3</v>
      </c>
      <c r="C50" s="21">
        <f t="shared" si="0"/>
        <v>1.5384615384615385E-2</v>
      </c>
      <c r="D50" s="22">
        <f t="shared" si="1"/>
        <v>4.5447428311333526E-2</v>
      </c>
      <c r="E50" s="23">
        <f t="shared" si="2"/>
        <v>3.9210560847676823E-2</v>
      </c>
      <c r="G50" s="1"/>
    </row>
    <row r="51" spans="1:7" x14ac:dyDescent="0.2">
      <c r="A51">
        <v>46</v>
      </c>
      <c r="B51">
        <v>4.3099999999999996E-3</v>
      </c>
      <c r="C51" s="21">
        <f t="shared" si="0"/>
        <v>1.5625E-2</v>
      </c>
      <c r="D51" s="22">
        <f t="shared" si="1"/>
        <v>4.6146392822265625E-2</v>
      </c>
      <c r="E51" s="23">
        <f t="shared" si="2"/>
        <v>3.9210560847676823E-2</v>
      </c>
      <c r="G51" s="1"/>
    </row>
    <row r="52" spans="1:7" x14ac:dyDescent="0.2">
      <c r="A52">
        <v>47</v>
      </c>
      <c r="B52">
        <v>4.6600000000000001E-3</v>
      </c>
      <c r="C52" s="21">
        <f t="shared" si="0"/>
        <v>1.5873015873015872E-2</v>
      </c>
      <c r="D52" s="22">
        <f t="shared" si="1"/>
        <v>4.6867188968474083E-2</v>
      </c>
      <c r="E52" s="23">
        <f t="shared" si="2"/>
        <v>3.9210560847676823E-2</v>
      </c>
      <c r="G52" s="1"/>
    </row>
    <row r="53" spans="1:7" x14ac:dyDescent="0.2">
      <c r="A53">
        <v>48</v>
      </c>
      <c r="B53">
        <v>5.0400000000000002E-3</v>
      </c>
      <c r="C53" s="21">
        <f t="shared" si="0"/>
        <v>1.6129032258064516E-2</v>
      </c>
      <c r="D53" s="22">
        <f t="shared" si="1"/>
        <v>4.7610855627538418E-2</v>
      </c>
      <c r="E53" s="23">
        <f t="shared" si="2"/>
        <v>3.9210560847676823E-2</v>
      </c>
      <c r="G53" s="1"/>
    </row>
    <row r="54" spans="1:7" x14ac:dyDescent="0.2">
      <c r="A54">
        <v>49</v>
      </c>
      <c r="B54">
        <v>5.4599999999999996E-3</v>
      </c>
      <c r="C54" s="21">
        <f t="shared" si="0"/>
        <v>1.6393442622950821E-2</v>
      </c>
      <c r="D54" s="22">
        <f t="shared" si="1"/>
        <v>4.8378498640855416E-2</v>
      </c>
      <c r="E54" s="23">
        <f t="shared" si="2"/>
        <v>3.9210560847676823E-2</v>
      </c>
      <c r="G54" s="1"/>
    </row>
    <row r="55" spans="1:7" x14ac:dyDescent="0.2">
      <c r="A55">
        <v>50</v>
      </c>
      <c r="B55">
        <v>5.9199999999999999E-3</v>
      </c>
      <c r="C55" s="21">
        <f t="shared" si="0"/>
        <v>1.6666666666666666E-2</v>
      </c>
      <c r="D55" s="22">
        <f t="shared" si="1"/>
        <v>4.9171296296296352E-2</v>
      </c>
      <c r="E55" s="23">
        <f t="shared" si="2"/>
        <v>3.9210560847676823E-2</v>
      </c>
      <c r="G55" s="1"/>
    </row>
    <row r="56" spans="1:7" x14ac:dyDescent="0.2">
      <c r="A56">
        <v>51</v>
      </c>
      <c r="B56">
        <v>6.4200000000000004E-3</v>
      </c>
      <c r="C56" s="21">
        <f t="shared" si="0"/>
        <v>1.6949152542372881E-2</v>
      </c>
      <c r="D56" s="22">
        <f t="shared" si="1"/>
        <v>4.9990505358386117E-2</v>
      </c>
      <c r="E56" s="23">
        <f t="shared" si="2"/>
        <v>3.9210560847676823E-2</v>
      </c>
      <c r="G56" s="1"/>
    </row>
    <row r="57" spans="1:7" x14ac:dyDescent="0.2">
      <c r="A57">
        <v>52</v>
      </c>
      <c r="B57">
        <v>6.9699999999999996E-3</v>
      </c>
      <c r="C57" s="21">
        <f t="shared" si="0"/>
        <v>1.7241379310344827E-2</v>
      </c>
      <c r="D57" s="22">
        <f t="shared" si="1"/>
        <v>5.083746771085329E-2</v>
      </c>
      <c r="E57" s="23">
        <f t="shared" si="2"/>
        <v>3.9210560847676823E-2</v>
      </c>
      <c r="G57" s="1"/>
    </row>
    <row r="58" spans="1:7" x14ac:dyDescent="0.2">
      <c r="A58">
        <v>53</v>
      </c>
      <c r="B58">
        <v>7.5799999999999999E-3</v>
      </c>
      <c r="C58" s="21">
        <f t="shared" si="0"/>
        <v>1.7543859649122806E-2</v>
      </c>
      <c r="D58" s="22">
        <f t="shared" si="1"/>
        <v>5.171361768533389E-2</v>
      </c>
      <c r="E58" s="23">
        <f t="shared" si="2"/>
        <v>3.9210560847676823E-2</v>
      </c>
      <c r="G58" s="1"/>
    </row>
    <row r="59" spans="1:7" x14ac:dyDescent="0.2">
      <c r="A59">
        <v>54</v>
      </c>
      <c r="B59">
        <v>8.2400000000000008E-3</v>
      </c>
      <c r="C59" s="21">
        <f t="shared" si="0"/>
        <v>1.7857142857142856E-2</v>
      </c>
      <c r="D59" s="22">
        <f t="shared" si="1"/>
        <v>5.2620490160349975E-2</v>
      </c>
      <c r="E59" s="23">
        <f t="shared" si="2"/>
        <v>3.9210560847676823E-2</v>
      </c>
      <c r="G59" s="1"/>
    </row>
    <row r="60" spans="1:7" x14ac:dyDescent="0.2">
      <c r="A60">
        <v>55</v>
      </c>
      <c r="B60">
        <v>8.9600000000000009E-3</v>
      </c>
      <c r="C60" s="21">
        <f t="shared" si="0"/>
        <v>1.8181818181818181E-2</v>
      </c>
      <c r="D60" s="22">
        <f t="shared" si="1"/>
        <v>5.3559729526671651E-2</v>
      </c>
      <c r="E60" s="23">
        <f t="shared" si="2"/>
        <v>3.9210560847676823E-2</v>
      </c>
      <c r="G60" s="1"/>
    </row>
    <row r="61" spans="1:7" x14ac:dyDescent="0.2">
      <c r="A61">
        <v>56</v>
      </c>
      <c r="B61">
        <v>9.75E-3</v>
      </c>
      <c r="C61" s="21">
        <f t="shared" si="0"/>
        <v>1.8518518518518517E-2</v>
      </c>
      <c r="D61" s="22">
        <f t="shared" si="1"/>
        <v>5.4533099629121451E-2</v>
      </c>
      <c r="E61" s="23">
        <f t="shared" si="2"/>
        <v>3.9210560847676823E-2</v>
      </c>
      <c r="G61" s="1"/>
    </row>
    <row r="62" spans="1:7" x14ac:dyDescent="0.2">
      <c r="A62">
        <v>57</v>
      </c>
      <c r="B62">
        <v>1.0619999999999999E-2</v>
      </c>
      <c r="C62" s="21">
        <f t="shared" si="0"/>
        <v>1.8867924528301886E-2</v>
      </c>
      <c r="D62" s="22">
        <f t="shared" si="1"/>
        <v>5.5542494811152809E-2</v>
      </c>
      <c r="E62" s="23">
        <f t="shared" si="2"/>
        <v>3.9210560847676823E-2</v>
      </c>
      <c r="G62" s="1"/>
    </row>
    <row r="63" spans="1:7" x14ac:dyDescent="0.2">
      <c r="A63">
        <v>58</v>
      </c>
      <c r="B63">
        <v>1.158E-2</v>
      </c>
      <c r="C63" s="21">
        <f t="shared" si="0"/>
        <v>1.9230769230769232E-2</v>
      </c>
      <c r="D63" s="22">
        <f t="shared" si="1"/>
        <v>5.6589952207555916E-2</v>
      </c>
      <c r="E63" s="23">
        <f t="shared" si="2"/>
        <v>3.9210560847676823E-2</v>
      </c>
      <c r="G63" s="1"/>
    </row>
    <row r="64" spans="1:7" x14ac:dyDescent="0.2">
      <c r="A64">
        <v>59</v>
      </c>
      <c r="B64">
        <v>1.2619999999999999E-2</v>
      </c>
      <c r="C64" s="21">
        <f t="shared" si="0"/>
        <v>1.9607843137254902E-2</v>
      </c>
      <c r="D64" s="22">
        <f t="shared" si="1"/>
        <v>5.7677665452955607E-2</v>
      </c>
      <c r="E64" s="23">
        <f t="shared" si="2"/>
        <v>3.9210560847676823E-2</v>
      </c>
      <c r="G64" s="1"/>
    </row>
    <row r="65" spans="1:7" x14ac:dyDescent="0.2">
      <c r="A65">
        <v>60</v>
      </c>
      <c r="B65">
        <v>1.376E-2</v>
      </c>
      <c r="C65" s="21">
        <f t="shared" si="0"/>
        <v>0.02</v>
      </c>
      <c r="D65" s="22">
        <f t="shared" si="1"/>
        <v>5.8808000000000082E-2</v>
      </c>
      <c r="E65" s="23">
        <f t="shared" si="2"/>
        <v>3.9210560847676823E-2</v>
      </c>
      <c r="G65" s="1"/>
    </row>
    <row r="66" spans="1:7" x14ac:dyDescent="0.2">
      <c r="A66">
        <v>61</v>
      </c>
      <c r="B66">
        <v>1.5009999999999999E-2</v>
      </c>
      <c r="C66" s="21">
        <f t="shared" si="0"/>
        <v>2.0408163265306121E-2</v>
      </c>
      <c r="D66" s="22">
        <f t="shared" si="1"/>
        <v>5.9983510272080598E-2</v>
      </c>
      <c r="E66" s="23">
        <f t="shared" si="2"/>
        <v>3.9210560847676823E-2</v>
      </c>
      <c r="G66" s="1"/>
    </row>
    <row r="67" spans="1:7" x14ac:dyDescent="0.2">
      <c r="A67">
        <v>62</v>
      </c>
      <c r="B67">
        <v>1.6379999999999999E-2</v>
      </c>
      <c r="C67" s="21">
        <f t="shared" si="0"/>
        <v>2.0833333333333332E-2</v>
      </c>
      <c r="D67" s="22">
        <f t="shared" si="1"/>
        <v>6.120695891203709E-2</v>
      </c>
      <c r="E67" s="23">
        <f t="shared" si="2"/>
        <v>3.9210560847676823E-2</v>
      </c>
      <c r="G67" s="1"/>
    </row>
    <row r="68" spans="1:7" x14ac:dyDescent="0.2">
      <c r="A68">
        <v>63</v>
      </c>
      <c r="B68">
        <v>1.788E-2</v>
      </c>
      <c r="C68" s="21">
        <f t="shared" si="0"/>
        <v>2.1276595744680851E-2</v>
      </c>
      <c r="D68" s="22">
        <f t="shared" si="1"/>
        <v>6.2481338431754074E-2</v>
      </c>
      <c r="E68" s="23">
        <f t="shared" si="2"/>
        <v>3.9210560847676823E-2</v>
      </c>
      <c r="G68" s="1"/>
    </row>
    <row r="69" spans="1:7" x14ac:dyDescent="0.2">
      <c r="A69">
        <v>64</v>
      </c>
      <c r="B69">
        <v>1.9519999999999999E-2</v>
      </c>
      <c r="C69" s="21">
        <f t="shared" si="0"/>
        <v>2.1739130434782608E-2</v>
      </c>
      <c r="D69" s="22">
        <f t="shared" si="1"/>
        <v>6.3809895619298063E-2</v>
      </c>
      <c r="E69" s="23">
        <f t="shared" si="2"/>
        <v>3.9210560847676823E-2</v>
      </c>
      <c r="G69" s="1"/>
    </row>
    <row r="70" spans="1:7" x14ac:dyDescent="0.2">
      <c r="A70">
        <v>65</v>
      </c>
      <c r="B70">
        <v>2.0920000000000001E-2</v>
      </c>
      <c r="C70" s="21">
        <f t="shared" ref="C70:C114" si="7">1/($C$3-A70)</f>
        <v>2.2222222222222223E-2</v>
      </c>
      <c r="D70" s="22">
        <f t="shared" ref="D70:D114" si="8">1-(($D$3-A70-1)/($D$3-A70))^$D$4</f>
        <v>6.5196159122085096E-2</v>
      </c>
      <c r="E70" s="23">
        <f t="shared" ref="E70:E115" si="9">1-EXP(-0.04)</f>
        <v>3.9210560847676823E-2</v>
      </c>
      <c r="G70" s="1"/>
    </row>
    <row r="71" spans="1:7" x14ac:dyDescent="0.2">
      <c r="A71">
        <v>66</v>
      </c>
      <c r="B71">
        <v>2.368E-2</v>
      </c>
      <c r="C71" s="21">
        <f t="shared" si="7"/>
        <v>2.2727272727272728E-2</v>
      </c>
      <c r="D71" s="22">
        <f t="shared" si="8"/>
        <v>6.6643970698722743E-2</v>
      </c>
      <c r="E71" s="23">
        <f t="shared" si="9"/>
        <v>3.9210560847676823E-2</v>
      </c>
      <c r="G71" s="1"/>
    </row>
    <row r="72" spans="1:7" x14ac:dyDescent="0.2">
      <c r="A72">
        <v>67</v>
      </c>
      <c r="B72">
        <v>2.5440000000000001E-2</v>
      </c>
      <c r="C72" s="21">
        <f t="shared" si="7"/>
        <v>2.3255813953488372E-2</v>
      </c>
      <c r="D72" s="22">
        <f t="shared" si="8"/>
        <v>6.8157520721445986E-2</v>
      </c>
      <c r="E72" s="23">
        <f t="shared" si="9"/>
        <v>3.9210560847676823E-2</v>
      </c>
      <c r="G72" s="1"/>
    </row>
    <row r="73" spans="1:7" x14ac:dyDescent="0.2">
      <c r="A73">
        <v>68</v>
      </c>
      <c r="B73">
        <v>2.7789999999999999E-2</v>
      </c>
      <c r="C73" s="21">
        <f t="shared" si="7"/>
        <v>2.3809523809523808E-2</v>
      </c>
      <c r="D73" s="22">
        <f t="shared" si="8"/>
        <v>6.9741388618939748E-2</v>
      </c>
      <c r="E73" s="23">
        <f t="shared" si="9"/>
        <v>3.9210560847676823E-2</v>
      </c>
      <c r="G73" s="1"/>
    </row>
    <row r="74" spans="1:7" x14ac:dyDescent="0.2">
      <c r="A74">
        <v>69</v>
      </c>
      <c r="B74">
        <v>3.0370000000000001E-2</v>
      </c>
      <c r="C74" s="21">
        <f t="shared" si="7"/>
        <v>2.4390243902439025E-2</v>
      </c>
      <c r="D74" s="22">
        <f t="shared" si="8"/>
        <v>7.1400589080251375E-2</v>
      </c>
      <c r="E74" s="23">
        <f t="shared" si="9"/>
        <v>3.9210560847676823E-2</v>
      </c>
      <c r="G74" s="1"/>
    </row>
    <row r="75" spans="1:7" x14ac:dyDescent="0.2">
      <c r="A75">
        <v>70</v>
      </c>
      <c r="B75">
        <v>3.3180000000000001E-2</v>
      </c>
      <c r="C75" s="21">
        <f t="shared" si="7"/>
        <v>2.5000000000000001E-2</v>
      </c>
      <c r="D75" s="22">
        <f t="shared" si="8"/>
        <v>7.314062500000007E-2</v>
      </c>
      <c r="E75" s="23">
        <f t="shared" si="9"/>
        <v>3.9210560847676823E-2</v>
      </c>
      <c r="G75" s="1"/>
    </row>
    <row r="76" spans="1:7" x14ac:dyDescent="0.2">
      <c r="A76">
        <v>71</v>
      </c>
      <c r="B76">
        <v>3.6260000000000001E-2</v>
      </c>
      <c r="C76" s="21">
        <f t="shared" si="7"/>
        <v>2.564102564102564E-2</v>
      </c>
      <c r="D76" s="22">
        <f t="shared" si="8"/>
        <v>7.4967548340329371E-2</v>
      </c>
      <c r="E76" s="23">
        <f t="shared" si="9"/>
        <v>3.9210560847676823E-2</v>
      </c>
      <c r="G76" s="1"/>
    </row>
    <row r="77" spans="1:7" x14ac:dyDescent="0.2">
      <c r="A77">
        <v>72</v>
      </c>
      <c r="B77">
        <v>3.9619999999999995E-2</v>
      </c>
      <c r="C77" s="21">
        <f t="shared" si="7"/>
        <v>2.6315789473684209E-2</v>
      </c>
      <c r="D77" s="22">
        <f t="shared" si="8"/>
        <v>7.6888030325120149E-2</v>
      </c>
      <c r="E77" s="23">
        <f t="shared" si="9"/>
        <v>3.9210560847676823E-2</v>
      </c>
      <c r="G77" s="1"/>
    </row>
    <row r="78" spans="1:7" x14ac:dyDescent="0.2">
      <c r="A78">
        <v>73</v>
      </c>
      <c r="B78">
        <v>4.3299999999999998E-2</v>
      </c>
      <c r="C78" s="21">
        <f t="shared" si="7"/>
        <v>2.7027027027027029E-2</v>
      </c>
      <c r="D78" s="22">
        <f t="shared" si="8"/>
        <v>7.8909442678617103E-2</v>
      </c>
      <c r="E78" s="23">
        <f t="shared" si="9"/>
        <v>3.9210560847676823E-2</v>
      </c>
      <c r="G78" s="1"/>
    </row>
    <row r="79" spans="1:7" x14ac:dyDescent="0.2">
      <c r="A79">
        <v>74</v>
      </c>
      <c r="B79">
        <v>4.7310000000000005E-2</v>
      </c>
      <c r="C79" s="21">
        <f t="shared" si="7"/>
        <v>2.7777777777777776E-2</v>
      </c>
      <c r="D79" s="22">
        <f t="shared" si="8"/>
        <v>8.1039951989026138E-2</v>
      </c>
      <c r="E79" s="23">
        <f t="shared" si="9"/>
        <v>3.9210560847676823E-2</v>
      </c>
      <c r="G79" s="1"/>
    </row>
    <row r="80" spans="1:7" x14ac:dyDescent="0.2">
      <c r="A80">
        <v>75</v>
      </c>
      <c r="B80">
        <v>5.169E-2</v>
      </c>
      <c r="C80" s="21">
        <f t="shared" si="7"/>
        <v>2.8571428571428571E-2</v>
      </c>
      <c r="D80" s="22">
        <f t="shared" si="8"/>
        <v>8.328862973760931E-2</v>
      </c>
      <c r="E80" s="23">
        <f t="shared" si="9"/>
        <v>3.9210560847676823E-2</v>
      </c>
      <c r="G80" s="1"/>
    </row>
    <row r="81" spans="1:7" x14ac:dyDescent="0.2">
      <c r="A81">
        <v>76</v>
      </c>
      <c r="B81">
        <v>5.6469999999999999E-2</v>
      </c>
      <c r="C81" s="21">
        <f t="shared" si="7"/>
        <v>2.9411764705882353E-2</v>
      </c>
      <c r="D81" s="22">
        <f t="shared" si="8"/>
        <v>8.5665581111337374E-2</v>
      </c>
      <c r="E81" s="23">
        <f t="shared" si="9"/>
        <v>3.9210560847676823E-2</v>
      </c>
      <c r="G81" s="1"/>
    </row>
    <row r="82" spans="1:7" x14ac:dyDescent="0.2">
      <c r="A82">
        <v>77</v>
      </c>
      <c r="B82">
        <v>6.1679999999999999E-2</v>
      </c>
      <c r="C82" s="21">
        <f t="shared" si="7"/>
        <v>3.0303030303030304E-2</v>
      </c>
      <c r="D82" s="22">
        <f t="shared" si="8"/>
        <v>8.8182096446559166E-2</v>
      </c>
      <c r="E82" s="23">
        <f t="shared" si="9"/>
        <v>3.9210560847676823E-2</v>
      </c>
      <c r="G82" s="1"/>
    </row>
    <row r="83" spans="1:7" x14ac:dyDescent="0.2">
      <c r="A83">
        <v>78</v>
      </c>
      <c r="B83">
        <v>6.7369999999999999E-2</v>
      </c>
      <c r="C83" s="21">
        <f t="shared" si="7"/>
        <v>3.125E-2</v>
      </c>
      <c r="D83" s="22">
        <f t="shared" si="8"/>
        <v>9.0850830078125E-2</v>
      </c>
      <c r="E83" s="23">
        <f t="shared" si="9"/>
        <v>3.9210560847676823E-2</v>
      </c>
      <c r="G83" s="1"/>
    </row>
    <row r="84" spans="1:7" x14ac:dyDescent="0.2">
      <c r="A84">
        <v>79</v>
      </c>
      <c r="B84">
        <v>7.356E-2</v>
      </c>
      <c r="C84" s="21">
        <f t="shared" si="7"/>
        <v>3.2258064516129031E-2</v>
      </c>
      <c r="D84" s="22">
        <f t="shared" si="8"/>
        <v>9.3686012554127007E-2</v>
      </c>
      <c r="E84" s="23">
        <f t="shared" si="9"/>
        <v>3.9210560847676823E-2</v>
      </c>
      <c r="G84" s="1"/>
    </row>
    <row r="85" spans="1:7" x14ac:dyDescent="0.2">
      <c r="A85">
        <v>80</v>
      </c>
      <c r="B85">
        <v>8.0299999999999996E-2</v>
      </c>
      <c r="C85" s="21">
        <f t="shared" si="7"/>
        <v>3.3333333333333333E-2</v>
      </c>
      <c r="D85" s="22">
        <f t="shared" si="8"/>
        <v>9.6703703703703736E-2</v>
      </c>
      <c r="E85" s="23">
        <f t="shared" si="9"/>
        <v>3.9210560847676823E-2</v>
      </c>
      <c r="G85" s="1"/>
    </row>
    <row r="86" spans="1:7" x14ac:dyDescent="0.2">
      <c r="A86">
        <v>81</v>
      </c>
      <c r="B86">
        <v>8.7639999999999996E-2</v>
      </c>
      <c r="C86" s="21">
        <f t="shared" si="7"/>
        <v>3.4482758620689655E-2</v>
      </c>
      <c r="D86" s="22">
        <f t="shared" si="8"/>
        <v>9.9922096026897167E-2</v>
      </c>
      <c r="E86" s="23">
        <f t="shared" si="9"/>
        <v>3.9210560847676823E-2</v>
      </c>
      <c r="G86" s="1"/>
    </row>
    <row r="87" spans="1:7" x14ac:dyDescent="0.2">
      <c r="A87">
        <v>82</v>
      </c>
      <c r="B87">
        <v>9.5610000000000001E-2</v>
      </c>
      <c r="C87" s="21">
        <f t="shared" si="7"/>
        <v>3.5714285714285712E-2</v>
      </c>
      <c r="D87" s="22">
        <f t="shared" si="8"/>
        <v>0.10336188046647221</v>
      </c>
      <c r="E87" s="23">
        <f t="shared" si="9"/>
        <v>3.9210560847676823E-2</v>
      </c>
      <c r="G87" s="1"/>
    </row>
    <row r="88" spans="1:7" x14ac:dyDescent="0.2">
      <c r="A88">
        <v>83</v>
      </c>
      <c r="B88">
        <v>0.10428</v>
      </c>
      <c r="C88" s="21">
        <f t="shared" si="7"/>
        <v>3.7037037037037035E-2</v>
      </c>
      <c r="D88" s="22">
        <f t="shared" si="8"/>
        <v>0.107046690037088</v>
      </c>
      <c r="E88" s="23">
        <f t="shared" si="9"/>
        <v>3.9210560847676823E-2</v>
      </c>
      <c r="G88" s="1"/>
    </row>
    <row r="89" spans="1:7" x14ac:dyDescent="0.2">
      <c r="A89">
        <v>84</v>
      </c>
      <c r="B89">
        <v>0.11369</v>
      </c>
      <c r="C89" s="21">
        <f t="shared" si="7"/>
        <v>3.8461538461538464E-2</v>
      </c>
      <c r="D89" s="22">
        <f t="shared" si="8"/>
        <v>0.11100364132908513</v>
      </c>
      <c r="E89" s="23">
        <f t="shared" si="9"/>
        <v>3.9210560847676823E-2</v>
      </c>
      <c r="G89" s="1"/>
    </row>
    <row r="90" spans="1:7" x14ac:dyDescent="0.2">
      <c r="A90">
        <v>85</v>
      </c>
      <c r="B90">
        <v>0.12389</v>
      </c>
      <c r="C90" s="21">
        <f t="shared" si="7"/>
        <v>0.04</v>
      </c>
      <c r="D90" s="22">
        <f t="shared" si="8"/>
        <v>0.11526400000000003</v>
      </c>
      <c r="E90" s="23">
        <f t="shared" si="9"/>
        <v>3.9210560847676823E-2</v>
      </c>
      <c r="G90" s="1"/>
    </row>
    <row r="91" spans="1:7" x14ac:dyDescent="0.2">
      <c r="A91">
        <v>86</v>
      </c>
      <c r="B91">
        <v>0.13494</v>
      </c>
      <c r="C91" s="21">
        <f t="shared" si="7"/>
        <v>4.1666666666666664E-2</v>
      </c>
      <c r="D91" s="22">
        <f t="shared" si="8"/>
        <v>0.11986400462962943</v>
      </c>
      <c r="E91" s="23">
        <f t="shared" si="9"/>
        <v>3.9210560847676823E-2</v>
      </c>
      <c r="G91" s="1"/>
    </row>
    <row r="92" spans="1:7" x14ac:dyDescent="0.2">
      <c r="A92">
        <v>87</v>
      </c>
      <c r="B92">
        <v>0.14688999999999999</v>
      </c>
      <c r="C92" s="21">
        <f t="shared" si="7"/>
        <v>4.3478260869565216E-2</v>
      </c>
      <c r="D92" s="22">
        <f t="shared" si="8"/>
        <v>0.12484589463302365</v>
      </c>
      <c r="E92" s="23">
        <f t="shared" si="9"/>
        <v>3.9210560847676823E-2</v>
      </c>
      <c r="G92" s="1"/>
    </row>
    <row r="93" spans="1:7" x14ac:dyDescent="0.2">
      <c r="A93">
        <v>88</v>
      </c>
      <c r="B93">
        <v>0.15981000000000001</v>
      </c>
      <c r="C93" s="21">
        <f t="shared" si="7"/>
        <v>4.5454545454545456E-2</v>
      </c>
      <c r="D93" s="22">
        <f t="shared" si="8"/>
        <v>0.13025920360631094</v>
      </c>
      <c r="E93" s="23">
        <f t="shared" si="9"/>
        <v>3.9210560847676823E-2</v>
      </c>
      <c r="G93" s="1"/>
    </row>
    <row r="94" spans="1:7" x14ac:dyDescent="0.2">
      <c r="A94">
        <v>89</v>
      </c>
      <c r="B94">
        <v>0.17374999999999999</v>
      </c>
      <c r="C94" s="21">
        <f t="shared" si="7"/>
        <v>4.7619047619047616E-2</v>
      </c>
      <c r="D94" s="22">
        <f t="shared" si="8"/>
        <v>0.13616240146852399</v>
      </c>
      <c r="E94" s="23">
        <f t="shared" si="9"/>
        <v>3.9210560847676823E-2</v>
      </c>
      <c r="G94" s="1"/>
    </row>
    <row r="95" spans="1:7" x14ac:dyDescent="0.2">
      <c r="A95">
        <v>90</v>
      </c>
      <c r="B95">
        <v>0.18877000000000002</v>
      </c>
      <c r="C95" s="21">
        <f t="shared" si="7"/>
        <v>0.05</v>
      </c>
      <c r="D95" s="22">
        <f t="shared" si="8"/>
        <v>0.14262500000000011</v>
      </c>
      <c r="E95" s="23">
        <f t="shared" si="9"/>
        <v>3.9210560847676823E-2</v>
      </c>
      <c r="G95" s="1"/>
    </row>
    <row r="96" spans="1:7" x14ac:dyDescent="0.2">
      <c r="A96">
        <v>91</v>
      </c>
      <c r="B96">
        <v>0.20493</v>
      </c>
      <c r="C96" s="21">
        <f t="shared" si="7"/>
        <v>5.2631578947368418E-2</v>
      </c>
      <c r="D96" s="22">
        <f t="shared" si="8"/>
        <v>0.14973028138212585</v>
      </c>
      <c r="E96" s="23">
        <f t="shared" si="9"/>
        <v>3.9210560847676823E-2</v>
      </c>
      <c r="G96" s="1"/>
    </row>
    <row r="97" spans="1:7" x14ac:dyDescent="0.2">
      <c r="A97">
        <v>92</v>
      </c>
      <c r="B97">
        <v>0.22227000000000002</v>
      </c>
      <c r="C97" s="21">
        <f t="shared" si="7"/>
        <v>5.5555555555555552E-2</v>
      </c>
      <c r="D97" s="22">
        <f t="shared" si="8"/>
        <v>0.15757887517146785</v>
      </c>
      <c r="E97" s="23">
        <f t="shared" si="9"/>
        <v>3.9210560847676823E-2</v>
      </c>
      <c r="G97" s="1"/>
    </row>
    <row r="98" spans="1:7" x14ac:dyDescent="0.2">
      <c r="A98">
        <v>93</v>
      </c>
      <c r="B98">
        <v>0.24086000000000002</v>
      </c>
      <c r="C98" s="21">
        <f t="shared" si="7"/>
        <v>5.8823529411764705E-2</v>
      </c>
      <c r="D98" s="22">
        <f t="shared" si="8"/>
        <v>0.16629350702218604</v>
      </c>
      <c r="E98" s="23">
        <f t="shared" si="9"/>
        <v>3.9210560847676823E-2</v>
      </c>
      <c r="G98" s="1"/>
    </row>
    <row r="99" spans="1:7" x14ac:dyDescent="0.2">
      <c r="A99">
        <v>94</v>
      </c>
      <c r="B99">
        <v>0.26073000000000002</v>
      </c>
      <c r="C99" s="21">
        <f t="shared" si="7"/>
        <v>6.25E-2</v>
      </c>
      <c r="D99" s="22">
        <f t="shared" si="8"/>
        <v>0.176025390625</v>
      </c>
      <c r="E99" s="23">
        <f t="shared" si="9"/>
        <v>3.9210560847676823E-2</v>
      </c>
      <c r="G99" s="1"/>
    </row>
    <row r="100" spans="1:7" x14ac:dyDescent="0.2">
      <c r="A100">
        <v>95</v>
      </c>
      <c r="B100">
        <v>0.28191000000000005</v>
      </c>
      <c r="C100" s="21">
        <f t="shared" si="7"/>
        <v>6.6666666666666666E-2</v>
      </c>
      <c r="D100" s="22">
        <f t="shared" si="8"/>
        <v>0.18696296296296289</v>
      </c>
      <c r="E100" s="23">
        <f t="shared" si="9"/>
        <v>3.9210560847676823E-2</v>
      </c>
      <c r="G100" s="1"/>
    </row>
    <row r="101" spans="1:7" x14ac:dyDescent="0.2">
      <c r="A101">
        <v>96</v>
      </c>
      <c r="B101">
        <v>0.30445</v>
      </c>
      <c r="C101" s="21">
        <f t="shared" si="7"/>
        <v>7.1428571428571425E-2</v>
      </c>
      <c r="D101" s="22">
        <f t="shared" si="8"/>
        <v>0.19934402332361512</v>
      </c>
      <c r="E101" s="23">
        <f t="shared" si="9"/>
        <v>3.9210560847676823E-2</v>
      </c>
      <c r="G101" s="1"/>
    </row>
    <row r="102" spans="1:7" x14ac:dyDescent="0.2">
      <c r="A102">
        <v>97</v>
      </c>
      <c r="B102">
        <v>0.32833999999999997</v>
      </c>
      <c r="C102" s="21">
        <f t="shared" si="7"/>
        <v>7.6923076923076927E-2</v>
      </c>
      <c r="D102" s="22">
        <f t="shared" si="8"/>
        <v>0.21347291761492926</v>
      </c>
      <c r="E102" s="23">
        <f t="shared" si="9"/>
        <v>3.9210560847676823E-2</v>
      </c>
      <c r="G102" s="1"/>
    </row>
    <row r="103" spans="1:7" x14ac:dyDescent="0.2">
      <c r="A103">
        <v>98</v>
      </c>
      <c r="B103">
        <v>0.35360000000000003</v>
      </c>
      <c r="C103" s="21">
        <f t="shared" si="7"/>
        <v>8.3333333333333329E-2</v>
      </c>
      <c r="D103" s="22">
        <f t="shared" si="8"/>
        <v>0.22974537037037046</v>
      </c>
      <c r="E103" s="23">
        <f t="shared" si="9"/>
        <v>3.9210560847676823E-2</v>
      </c>
      <c r="G103" s="1"/>
    </row>
    <row r="104" spans="1:7" x14ac:dyDescent="0.2">
      <c r="A104">
        <v>99</v>
      </c>
      <c r="B104">
        <v>0.38019999999999998</v>
      </c>
      <c r="C104" s="21">
        <f t="shared" si="7"/>
        <v>9.0909090909090912E-2</v>
      </c>
      <c r="D104" s="22">
        <f t="shared" si="8"/>
        <v>0.24868519909842235</v>
      </c>
      <c r="E104" s="23">
        <f t="shared" si="9"/>
        <v>3.9210560847676823E-2</v>
      </c>
      <c r="G104" s="1"/>
    </row>
    <row r="105" spans="1:7" x14ac:dyDescent="0.2">
      <c r="A105">
        <v>100</v>
      </c>
      <c r="B105">
        <v>0.40811999999999998</v>
      </c>
      <c r="C105" s="21">
        <f t="shared" si="7"/>
        <v>0.1</v>
      </c>
      <c r="D105" s="22">
        <f t="shared" si="8"/>
        <v>0.27099999999999991</v>
      </c>
      <c r="E105" s="23">
        <f t="shared" si="9"/>
        <v>3.9210560847676823E-2</v>
      </c>
      <c r="G105" s="1"/>
    </row>
    <row r="106" spans="1:7" x14ac:dyDescent="0.2">
      <c r="A106">
        <v>101</v>
      </c>
      <c r="B106">
        <v>0.43727999999999995</v>
      </c>
      <c r="C106" s="21">
        <f t="shared" si="7"/>
        <v>0.1111111111111111</v>
      </c>
      <c r="D106" s="22">
        <f t="shared" si="8"/>
        <v>0.2976680384087792</v>
      </c>
      <c r="E106" s="23">
        <f t="shared" si="9"/>
        <v>3.9210560847676823E-2</v>
      </c>
      <c r="G106" s="1"/>
    </row>
    <row r="107" spans="1:7" x14ac:dyDescent="0.2">
      <c r="A107">
        <v>102</v>
      </c>
      <c r="B107">
        <v>0.46761000000000003</v>
      </c>
      <c r="C107" s="21">
        <f t="shared" si="7"/>
        <v>0.125</v>
      </c>
      <c r="D107" s="22">
        <f t="shared" si="8"/>
        <v>0.330078125</v>
      </c>
      <c r="E107" s="23">
        <f t="shared" si="9"/>
        <v>3.9210560847676823E-2</v>
      </c>
      <c r="G107" s="1"/>
    </row>
    <row r="108" spans="1:7" x14ac:dyDescent="0.2">
      <c r="A108">
        <v>103</v>
      </c>
      <c r="B108">
        <v>0.49898999999999999</v>
      </c>
      <c r="C108" s="21">
        <f t="shared" si="7"/>
        <v>0.14285714285714285</v>
      </c>
      <c r="D108" s="22">
        <f t="shared" si="8"/>
        <v>0.370262390670554</v>
      </c>
      <c r="E108" s="23">
        <f t="shared" si="9"/>
        <v>3.9210560847676823E-2</v>
      </c>
      <c r="G108" s="1"/>
    </row>
    <row r="109" spans="1:7" x14ac:dyDescent="0.2">
      <c r="A109">
        <v>104</v>
      </c>
      <c r="B109">
        <v>0.53127999999999997</v>
      </c>
      <c r="C109" s="21">
        <f t="shared" si="7"/>
        <v>0.16666666666666666</v>
      </c>
      <c r="D109" s="22">
        <f t="shared" si="8"/>
        <v>0.42129629629629617</v>
      </c>
      <c r="E109" s="23">
        <f t="shared" si="9"/>
        <v>3.9210560847676823E-2</v>
      </c>
      <c r="G109" s="1"/>
    </row>
    <row r="110" spans="1:7" x14ac:dyDescent="0.2">
      <c r="A110">
        <v>105</v>
      </c>
      <c r="B110">
        <v>0.56428999999999996</v>
      </c>
      <c r="C110" s="21">
        <f t="shared" si="7"/>
        <v>0.2</v>
      </c>
      <c r="D110" s="22">
        <f t="shared" si="8"/>
        <v>0.48799999999999988</v>
      </c>
      <c r="E110" s="23">
        <f t="shared" si="9"/>
        <v>3.9210560847676823E-2</v>
      </c>
      <c r="G110" s="1"/>
    </row>
    <row r="111" spans="1:7" x14ac:dyDescent="0.2">
      <c r="A111">
        <v>106</v>
      </c>
      <c r="B111">
        <v>0.59783000000000008</v>
      </c>
      <c r="C111" s="21">
        <f t="shared" si="7"/>
        <v>0.25</v>
      </c>
      <c r="D111" s="22">
        <f t="shared" si="8"/>
        <v>0.578125</v>
      </c>
      <c r="E111" s="23">
        <f t="shared" si="9"/>
        <v>3.9210560847676823E-2</v>
      </c>
      <c r="G111" s="1"/>
    </row>
    <row r="112" spans="1:7" x14ac:dyDescent="0.2">
      <c r="A112">
        <v>107</v>
      </c>
      <c r="B112">
        <v>0.63163999999999998</v>
      </c>
      <c r="C112" s="21">
        <f t="shared" si="7"/>
        <v>0.33333333333333331</v>
      </c>
      <c r="D112" s="22">
        <f t="shared" si="8"/>
        <v>0.70370370370370372</v>
      </c>
      <c r="E112" s="23">
        <f t="shared" si="9"/>
        <v>3.9210560847676823E-2</v>
      </c>
      <c r="G112" s="1"/>
    </row>
    <row r="113" spans="1:7" x14ac:dyDescent="0.2">
      <c r="A113">
        <v>108</v>
      </c>
      <c r="B113">
        <v>0.6654500000000001</v>
      </c>
      <c r="C113" s="21">
        <f t="shared" si="7"/>
        <v>0.5</v>
      </c>
      <c r="D113" s="22">
        <f t="shared" si="8"/>
        <v>0.875</v>
      </c>
      <c r="E113" s="23">
        <f t="shared" si="9"/>
        <v>3.9210560847676823E-2</v>
      </c>
      <c r="G113" s="1"/>
    </row>
    <row r="114" spans="1:7" x14ac:dyDescent="0.2">
      <c r="A114">
        <v>109</v>
      </c>
      <c r="B114">
        <v>0.69886999999999999</v>
      </c>
      <c r="C114" s="21">
        <f t="shared" si="7"/>
        <v>1</v>
      </c>
      <c r="D114" s="22">
        <f t="shared" si="8"/>
        <v>1</v>
      </c>
      <c r="E114" s="23">
        <f t="shared" si="9"/>
        <v>3.9210560847676823E-2</v>
      </c>
      <c r="G114" s="1"/>
    </row>
    <row r="115" spans="1:7" x14ac:dyDescent="0.2">
      <c r="A115">
        <v>110</v>
      </c>
      <c r="B115">
        <v>0.73187000000000002</v>
      </c>
      <c r="C115" s="24">
        <v>1</v>
      </c>
      <c r="D115" s="25">
        <v>1</v>
      </c>
      <c r="E115" s="26">
        <f t="shared" si="9"/>
        <v>3.9210560847676823E-2</v>
      </c>
      <c r="G115" s="1"/>
    </row>
  </sheetData>
  <pageMargins left="0.75" right="0.75" top="1" bottom="1" header="0.5" footer="0.5"/>
  <pageSetup orientation="portrait" horizontalDpi="4294967292" verticalDpi="4294967292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B1:L96"/>
  <sheetViews>
    <sheetView workbookViewId="0">
      <selection activeCell="L12" sqref="L12"/>
    </sheetView>
  </sheetViews>
  <sheetFormatPr baseColWidth="10" defaultRowHeight="16" x14ac:dyDescent="0.2"/>
  <sheetData>
    <row r="1" spans="2:12" x14ac:dyDescent="0.2">
      <c r="B1" s="4" t="s">
        <v>12</v>
      </c>
      <c r="C1" s="5"/>
    </row>
    <row r="2" spans="2:12" x14ac:dyDescent="0.2">
      <c r="B2" s="5"/>
      <c r="C2" s="6"/>
    </row>
    <row r="3" spans="2:12" x14ac:dyDescent="0.2">
      <c r="B3" s="5"/>
      <c r="C3" s="5"/>
      <c r="H3" s="2" t="s">
        <v>10</v>
      </c>
      <c r="I3" s="2"/>
      <c r="K3" s="2" t="s">
        <v>11</v>
      </c>
    </row>
    <row r="4" spans="2:12" ht="18" x14ac:dyDescent="0.25">
      <c r="B4" s="5" t="s">
        <v>0</v>
      </c>
      <c r="C4" s="5" t="s">
        <v>9</v>
      </c>
      <c r="D4" t="s">
        <v>6</v>
      </c>
      <c r="E4" t="s">
        <v>7</v>
      </c>
      <c r="F4" t="s">
        <v>37</v>
      </c>
      <c r="H4" t="s">
        <v>8</v>
      </c>
      <c r="K4" s="2"/>
    </row>
    <row r="5" spans="2:12" ht="18" x14ac:dyDescent="0.25">
      <c r="B5" s="5">
        <v>20</v>
      </c>
      <c r="C5" s="5">
        <v>1.0300000000000001E-3</v>
      </c>
      <c r="D5">
        <f t="shared" ref="D5:D49" si="0">1-C5</f>
        <v>0.99897000000000002</v>
      </c>
      <c r="E5">
        <f>D5</f>
        <v>0.99897000000000002</v>
      </c>
      <c r="H5" s="13">
        <f>SUM(E5:E95)</f>
        <v>53.965524082330148</v>
      </c>
      <c r="I5" s="13">
        <f t="shared" ref="I5:I68" si="1">D5*(1+I6)</f>
        <v>53.965524082330127</v>
      </c>
      <c r="K5" t="s">
        <v>39</v>
      </c>
      <c r="L5" s="17">
        <f>SUM(F25:F34)</f>
        <v>9.8088664111577923</v>
      </c>
    </row>
    <row r="6" spans="2:12" x14ac:dyDescent="0.2">
      <c r="B6" s="5">
        <v>21</v>
      </c>
      <c r="C6" s="5">
        <v>1.06E-3</v>
      </c>
      <c r="D6">
        <f t="shared" si="0"/>
        <v>0.99894000000000005</v>
      </c>
      <c r="E6">
        <f t="shared" ref="E6:E50" si="2">D6*E5</f>
        <v>0.99791109180000004</v>
      </c>
      <c r="H6" s="14">
        <f t="shared" ref="H6:H50" si="3">H5/D5-1</f>
        <v>53.02116588318983</v>
      </c>
      <c r="I6" s="14">
        <f t="shared" si="1"/>
        <v>53.021165883189809</v>
      </c>
    </row>
    <row r="7" spans="2:12" ht="18" x14ac:dyDescent="0.25">
      <c r="B7" s="5">
        <v>22</v>
      </c>
      <c r="C7" s="5">
        <v>1.1000000000000001E-3</v>
      </c>
      <c r="D7">
        <f t="shared" si="0"/>
        <v>0.99890000000000001</v>
      </c>
      <c r="E7">
        <f t="shared" si="2"/>
        <v>0.99681338959901999</v>
      </c>
      <c r="H7" s="14">
        <f t="shared" si="3"/>
        <v>52.07742795682406</v>
      </c>
      <c r="I7" s="14">
        <f t="shared" si="1"/>
        <v>52.077427956824039</v>
      </c>
      <c r="K7" t="s">
        <v>38</v>
      </c>
      <c r="L7" s="17">
        <f>SUM(F25:F54)</f>
        <v>26.977569263744808</v>
      </c>
    </row>
    <row r="8" spans="2:12" x14ac:dyDescent="0.2">
      <c r="B8" s="5">
        <v>23</v>
      </c>
      <c r="C8" s="5">
        <v>1.1299999999999999E-3</v>
      </c>
      <c r="D8">
        <f t="shared" si="0"/>
        <v>0.99887000000000004</v>
      </c>
      <c r="E8">
        <f t="shared" si="2"/>
        <v>0.99568699046877318</v>
      </c>
      <c r="H8" s="14">
        <f t="shared" si="3"/>
        <v>51.134776210655779</v>
      </c>
      <c r="I8" s="14">
        <f t="shared" si="1"/>
        <v>51.134776210655758</v>
      </c>
    </row>
    <row r="9" spans="2:12" x14ac:dyDescent="0.2">
      <c r="B9" s="5">
        <v>24</v>
      </c>
      <c r="C9" s="5">
        <v>1.1800000000000001E-3</v>
      </c>
      <c r="D9">
        <f t="shared" si="0"/>
        <v>0.99882000000000004</v>
      </c>
      <c r="E9">
        <f t="shared" si="2"/>
        <v>0.9945120798200201</v>
      </c>
      <c r="H9" s="14">
        <f t="shared" si="3"/>
        <v>50.192623875635249</v>
      </c>
      <c r="I9" s="14">
        <f t="shared" si="1"/>
        <v>50.192623875635228</v>
      </c>
    </row>
    <row r="10" spans="2:12" x14ac:dyDescent="0.2">
      <c r="B10" s="5">
        <v>25</v>
      </c>
      <c r="C10" s="5">
        <v>1.2199999999999999E-3</v>
      </c>
      <c r="D10">
        <f t="shared" si="0"/>
        <v>0.99878</v>
      </c>
      <c r="E10">
        <f t="shared" si="2"/>
        <v>0.99329877508263964</v>
      </c>
      <c r="H10" s="14">
        <f t="shared" si="3"/>
        <v>49.251921142583498</v>
      </c>
      <c r="I10" s="14">
        <f t="shared" si="1"/>
        <v>49.251921142583477</v>
      </c>
    </row>
    <row r="11" spans="2:12" x14ac:dyDescent="0.2">
      <c r="B11" s="5">
        <v>26</v>
      </c>
      <c r="C11" s="5">
        <v>1.2700000000000001E-3</v>
      </c>
      <c r="D11">
        <f t="shared" si="0"/>
        <v>0.99873000000000001</v>
      </c>
      <c r="E11">
        <f t="shared" si="2"/>
        <v>0.99203728563828475</v>
      </c>
      <c r="H11" s="14">
        <f t="shared" si="3"/>
        <v>48.312081882480122</v>
      </c>
      <c r="I11" s="14">
        <f t="shared" si="1"/>
        <v>48.312081882480101</v>
      </c>
    </row>
    <row r="12" spans="2:12" x14ac:dyDescent="0.2">
      <c r="B12" s="5">
        <v>27</v>
      </c>
      <c r="C12" s="5">
        <v>1.33E-3</v>
      </c>
      <c r="D12">
        <f t="shared" si="0"/>
        <v>0.99866999999999995</v>
      </c>
      <c r="E12">
        <f t="shared" si="2"/>
        <v>0.99071787604838579</v>
      </c>
      <c r="H12" s="14">
        <f t="shared" si="3"/>
        <v>47.37351624811523</v>
      </c>
      <c r="I12" s="14">
        <f t="shared" si="1"/>
        <v>47.373516248115209</v>
      </c>
    </row>
    <row r="13" spans="2:12" x14ac:dyDescent="0.2">
      <c r="B13" s="5">
        <v>28</v>
      </c>
      <c r="C13" s="5">
        <v>1.39E-3</v>
      </c>
      <c r="D13">
        <f t="shared" si="0"/>
        <v>0.99861</v>
      </c>
      <c r="E13">
        <f t="shared" si="2"/>
        <v>0.98934077820067856</v>
      </c>
      <c r="H13" s="14">
        <f t="shared" si="3"/>
        <v>46.436606935339235</v>
      </c>
      <c r="I13" s="14">
        <f t="shared" si="1"/>
        <v>46.436606935339213</v>
      </c>
    </row>
    <row r="14" spans="2:12" x14ac:dyDescent="0.2">
      <c r="B14" s="5">
        <v>29</v>
      </c>
      <c r="C14" s="5">
        <v>1.4599999999999999E-3</v>
      </c>
      <c r="D14">
        <f t="shared" si="0"/>
        <v>0.99853999999999998</v>
      </c>
      <c r="E14">
        <f t="shared" si="2"/>
        <v>0.9878963406645056</v>
      </c>
      <c r="H14" s="14">
        <f t="shared" si="3"/>
        <v>45.501243664032238</v>
      </c>
      <c r="I14" s="14">
        <f t="shared" si="1"/>
        <v>45.501243664032216</v>
      </c>
    </row>
    <row r="15" spans="2:12" x14ac:dyDescent="0.2">
      <c r="B15" s="5">
        <v>30</v>
      </c>
      <c r="C15" s="5">
        <v>1.5299999999999999E-3</v>
      </c>
      <c r="D15">
        <f t="shared" si="0"/>
        <v>0.99846999999999997</v>
      </c>
      <c r="E15">
        <f t="shared" si="2"/>
        <v>0.98638485926328889</v>
      </c>
      <c r="H15" s="14">
        <f t="shared" si="3"/>
        <v>44.567772612045829</v>
      </c>
      <c r="I15" s="14">
        <f t="shared" si="1"/>
        <v>44.567772612045808</v>
      </c>
    </row>
    <row r="16" spans="2:12" x14ac:dyDescent="0.2">
      <c r="B16" s="5">
        <v>31</v>
      </c>
      <c r="C16" s="5">
        <v>1.6100000000000001E-3</v>
      </c>
      <c r="D16">
        <f t="shared" si="0"/>
        <v>0.99839</v>
      </c>
      <c r="E16">
        <f t="shared" si="2"/>
        <v>0.984796779639875</v>
      </c>
      <c r="H16" s="14">
        <f t="shared" si="3"/>
        <v>43.636065792708678</v>
      </c>
      <c r="I16" s="14">
        <f t="shared" si="1"/>
        <v>43.636065792708656</v>
      </c>
    </row>
    <row r="17" spans="2:9" x14ac:dyDescent="0.2">
      <c r="B17" s="5">
        <v>32</v>
      </c>
      <c r="C17" s="5">
        <v>1.6999999999999999E-3</v>
      </c>
      <c r="D17">
        <f t="shared" si="0"/>
        <v>0.99829999999999997</v>
      </c>
      <c r="E17">
        <f t="shared" si="2"/>
        <v>0.98312262511448723</v>
      </c>
      <c r="H17" s="14">
        <f t="shared" si="3"/>
        <v>42.706433150080308</v>
      </c>
      <c r="I17" s="14">
        <f t="shared" si="1"/>
        <v>42.706433150080287</v>
      </c>
    </row>
    <row r="18" spans="2:9" x14ac:dyDescent="0.2">
      <c r="B18" s="5">
        <v>33</v>
      </c>
      <c r="C18" s="5">
        <v>1.7899999999999999E-3</v>
      </c>
      <c r="D18">
        <f t="shared" si="0"/>
        <v>0.99821000000000004</v>
      </c>
      <c r="E18">
        <f t="shared" si="2"/>
        <v>0.98136283561553228</v>
      </c>
      <c r="H18" s="14">
        <f t="shared" si="3"/>
        <v>41.779157718201255</v>
      </c>
      <c r="I18" s="14">
        <f t="shared" si="1"/>
        <v>41.779157718201233</v>
      </c>
    </row>
    <row r="19" spans="2:9" x14ac:dyDescent="0.2">
      <c r="B19" s="5">
        <v>34</v>
      </c>
      <c r="C19" s="5">
        <v>1.9E-3</v>
      </c>
      <c r="D19">
        <f t="shared" si="0"/>
        <v>0.99809999999999999</v>
      </c>
      <c r="E19">
        <f t="shared" si="2"/>
        <v>0.97949824622786275</v>
      </c>
      <c r="H19" s="14">
        <f t="shared" si="3"/>
        <v>40.854076515163392</v>
      </c>
      <c r="I19" s="14">
        <f t="shared" si="1"/>
        <v>40.854076515163371</v>
      </c>
    </row>
    <row r="20" spans="2:9" x14ac:dyDescent="0.2">
      <c r="B20" s="5">
        <v>35</v>
      </c>
      <c r="C20" s="5">
        <v>2.0100000000000001E-3</v>
      </c>
      <c r="D20">
        <f t="shared" si="0"/>
        <v>0.99799000000000004</v>
      </c>
      <c r="E20">
        <f t="shared" si="2"/>
        <v>0.97752945475294484</v>
      </c>
      <c r="H20" s="14">
        <f t="shared" si="3"/>
        <v>39.931847024509963</v>
      </c>
      <c r="I20" s="14">
        <f t="shared" si="1"/>
        <v>39.931847024509942</v>
      </c>
    </row>
    <row r="21" spans="2:9" x14ac:dyDescent="0.2">
      <c r="B21" s="5">
        <v>36</v>
      </c>
      <c r="C21" s="5">
        <v>2.14E-3</v>
      </c>
      <c r="D21">
        <f t="shared" si="0"/>
        <v>0.99785999999999997</v>
      </c>
      <c r="E21">
        <f t="shared" si="2"/>
        <v>0.97543754171977348</v>
      </c>
      <c r="H21" s="14">
        <f t="shared" si="3"/>
        <v>39.012271690608081</v>
      </c>
      <c r="I21" s="14">
        <f t="shared" si="1"/>
        <v>39.01227169060806</v>
      </c>
    </row>
    <row r="22" spans="2:9" x14ac:dyDescent="0.2">
      <c r="B22" s="5">
        <v>37</v>
      </c>
      <c r="C22" s="5">
        <v>2.2799999999999999E-3</v>
      </c>
      <c r="D22">
        <f t="shared" si="0"/>
        <v>0.99772000000000005</v>
      </c>
      <c r="E22">
        <f t="shared" si="2"/>
        <v>0.97321354412465244</v>
      </c>
      <c r="H22" s="14">
        <f t="shared" si="3"/>
        <v>38.095936995779049</v>
      </c>
      <c r="I22" s="14">
        <f t="shared" si="1"/>
        <v>38.095936995779027</v>
      </c>
    </row>
    <row r="23" spans="2:9" x14ac:dyDescent="0.2">
      <c r="B23" s="5">
        <v>38</v>
      </c>
      <c r="C23" s="5">
        <v>2.4299999999999999E-3</v>
      </c>
      <c r="D23">
        <f t="shared" si="0"/>
        <v>0.99756999999999996</v>
      </c>
      <c r="E23">
        <f t="shared" si="2"/>
        <v>0.97084863521242948</v>
      </c>
      <c r="H23" s="14">
        <f t="shared" si="3"/>
        <v>37.182994222606588</v>
      </c>
      <c r="I23" s="14">
        <f t="shared" si="1"/>
        <v>37.182994222606567</v>
      </c>
    </row>
    <row r="24" spans="2:9" x14ac:dyDescent="0.2">
      <c r="B24" s="5">
        <v>39</v>
      </c>
      <c r="C24" s="5">
        <v>2.5999999999999999E-3</v>
      </c>
      <c r="D24">
        <f t="shared" si="0"/>
        <v>0.99739999999999995</v>
      </c>
      <c r="E24">
        <f t="shared" si="2"/>
        <v>0.9683244287608771</v>
      </c>
      <c r="H24" s="14">
        <f t="shared" si="3"/>
        <v>36.273568995265087</v>
      </c>
      <c r="I24" s="14">
        <f t="shared" si="1"/>
        <v>36.273568995265066</v>
      </c>
    </row>
    <row r="25" spans="2:9" x14ac:dyDescent="0.2">
      <c r="B25" s="5">
        <v>40</v>
      </c>
      <c r="C25" s="5">
        <v>2.7799999999999999E-3</v>
      </c>
      <c r="D25">
        <f t="shared" si="0"/>
        <v>0.99722</v>
      </c>
      <c r="E25">
        <f t="shared" si="2"/>
        <v>0.96563248684892189</v>
      </c>
      <c r="F25">
        <f>D25</f>
        <v>0.99722</v>
      </c>
      <c r="H25" s="14">
        <f t="shared" si="3"/>
        <v>35.36812612318537</v>
      </c>
      <c r="I25" s="14">
        <f t="shared" si="1"/>
        <v>35.368126123185348</v>
      </c>
    </row>
    <row r="26" spans="2:9" x14ac:dyDescent="0.2">
      <c r="B26" s="5">
        <v>41</v>
      </c>
      <c r="C26" s="5">
        <v>2.98E-3</v>
      </c>
      <c r="D26">
        <f t="shared" si="0"/>
        <v>0.99702000000000002</v>
      </c>
      <c r="E26">
        <f t="shared" si="2"/>
        <v>0.96275490203811209</v>
      </c>
      <c r="F26">
        <f t="shared" ref="F26:F70" si="4">D26*F25</f>
        <v>0.99424828440000002</v>
      </c>
      <c r="H26" s="14">
        <f t="shared" si="3"/>
        <v>34.466723614834613</v>
      </c>
      <c r="I26" s="14">
        <f t="shared" si="1"/>
        <v>34.466723614834592</v>
      </c>
    </row>
    <row r="27" spans="2:9" x14ac:dyDescent="0.2">
      <c r="B27" s="5">
        <v>42</v>
      </c>
      <c r="C27" s="5">
        <v>3.2000000000000002E-3</v>
      </c>
      <c r="D27">
        <f t="shared" si="0"/>
        <v>0.99680000000000002</v>
      </c>
      <c r="E27">
        <f t="shared" si="2"/>
        <v>0.95967408635159013</v>
      </c>
      <c r="F27">
        <f t="shared" si="4"/>
        <v>0.99106668988992008</v>
      </c>
      <c r="H27" s="14">
        <f t="shared" si="3"/>
        <v>33.569741444338739</v>
      </c>
      <c r="I27" s="14">
        <f t="shared" si="1"/>
        <v>33.569741444338717</v>
      </c>
    </row>
    <row r="28" spans="2:9" x14ac:dyDescent="0.2">
      <c r="B28" s="5">
        <v>43</v>
      </c>
      <c r="C28" s="5">
        <v>3.4399999999999999E-3</v>
      </c>
      <c r="D28">
        <f t="shared" si="0"/>
        <v>0.99656</v>
      </c>
      <c r="E28">
        <f t="shared" si="2"/>
        <v>0.95637280749454068</v>
      </c>
      <c r="F28">
        <f t="shared" si="4"/>
        <v>0.9876574204766988</v>
      </c>
      <c r="H28" s="14">
        <f t="shared" si="3"/>
        <v>32.67750947465764</v>
      </c>
      <c r="I28" s="14">
        <f t="shared" si="1"/>
        <v>32.677509474657619</v>
      </c>
    </row>
    <row r="29" spans="2:9" x14ac:dyDescent="0.2">
      <c r="B29" s="5">
        <v>44</v>
      </c>
      <c r="C29" s="5">
        <v>3.7100000000000002E-3</v>
      </c>
      <c r="D29">
        <f t="shared" si="0"/>
        <v>0.99629000000000001</v>
      </c>
      <c r="E29">
        <f t="shared" si="2"/>
        <v>0.95282466437873592</v>
      </c>
      <c r="F29">
        <f t="shared" si="4"/>
        <v>0.98399321144673024</v>
      </c>
      <c r="H29" s="14">
        <f t="shared" si="3"/>
        <v>31.790308134640803</v>
      </c>
      <c r="I29" s="14">
        <f t="shared" si="1"/>
        <v>31.790308134640778</v>
      </c>
    </row>
    <row r="30" spans="2:9" x14ac:dyDescent="0.2">
      <c r="B30" s="5">
        <v>45</v>
      </c>
      <c r="C30" s="5">
        <v>4.0000000000000001E-3</v>
      </c>
      <c r="D30">
        <f t="shared" si="0"/>
        <v>0.996</v>
      </c>
      <c r="E30">
        <f t="shared" si="2"/>
        <v>0.94901336572122097</v>
      </c>
      <c r="F30">
        <f t="shared" si="4"/>
        <v>0.98005723860094329</v>
      </c>
      <c r="H30" s="14">
        <f t="shared" si="3"/>
        <v>30.908689372211708</v>
      </c>
      <c r="I30" s="14">
        <f t="shared" si="1"/>
        <v>30.908689372211683</v>
      </c>
    </row>
    <row r="31" spans="2:9" x14ac:dyDescent="0.2">
      <c r="B31" s="5">
        <v>46</v>
      </c>
      <c r="C31" s="5">
        <v>4.3099999999999996E-3</v>
      </c>
      <c r="D31">
        <f t="shared" si="0"/>
        <v>0.99568999999999996</v>
      </c>
      <c r="E31">
        <f t="shared" si="2"/>
        <v>0.94492311811496243</v>
      </c>
      <c r="F31">
        <f t="shared" si="4"/>
        <v>0.97583319190257323</v>
      </c>
      <c r="H31" s="14">
        <f t="shared" si="3"/>
        <v>30.032820654831031</v>
      </c>
      <c r="I31" s="14">
        <f t="shared" si="1"/>
        <v>30.032820654831006</v>
      </c>
    </row>
    <row r="32" spans="2:9" x14ac:dyDescent="0.2">
      <c r="B32" s="5">
        <v>47</v>
      </c>
      <c r="C32" s="5">
        <v>4.6600000000000001E-3</v>
      </c>
      <c r="D32">
        <f t="shared" si="0"/>
        <v>0.99534</v>
      </c>
      <c r="E32">
        <f t="shared" si="2"/>
        <v>0.94051977638454676</v>
      </c>
      <c r="F32">
        <f t="shared" si="4"/>
        <v>0.97128580922830721</v>
      </c>
      <c r="H32" s="14">
        <f t="shared" si="3"/>
        <v>29.162822419458902</v>
      </c>
      <c r="I32" s="14">
        <f t="shared" si="1"/>
        <v>29.162822419458877</v>
      </c>
    </row>
    <row r="33" spans="2:9" x14ac:dyDescent="0.2">
      <c r="B33" s="5">
        <v>48</v>
      </c>
      <c r="C33" s="5">
        <v>5.0400000000000002E-3</v>
      </c>
      <c r="D33">
        <f t="shared" si="0"/>
        <v>0.99495999999999996</v>
      </c>
      <c r="E33">
        <f t="shared" si="2"/>
        <v>0.93577955671156865</v>
      </c>
      <c r="F33">
        <f t="shared" si="4"/>
        <v>0.96639052874979647</v>
      </c>
      <c r="H33" s="14">
        <f t="shared" si="3"/>
        <v>28.299357425059679</v>
      </c>
      <c r="I33" s="14">
        <f t="shared" si="1"/>
        <v>28.299357425059654</v>
      </c>
    </row>
    <row r="34" spans="2:9" x14ac:dyDescent="0.2">
      <c r="B34" s="5">
        <v>49</v>
      </c>
      <c r="C34" s="5">
        <v>5.4599999999999996E-3</v>
      </c>
      <c r="D34">
        <f t="shared" si="0"/>
        <v>0.99453999999999998</v>
      </c>
      <c r="E34">
        <f t="shared" si="2"/>
        <v>0.93067020033192349</v>
      </c>
      <c r="F34">
        <f t="shared" si="4"/>
        <v>0.96111403646282256</v>
      </c>
      <c r="H34" s="14">
        <f t="shared" si="3"/>
        <v>27.442708676790705</v>
      </c>
      <c r="I34" s="14">
        <f t="shared" si="1"/>
        <v>27.44270867679068</v>
      </c>
    </row>
    <row r="35" spans="2:9" x14ac:dyDescent="0.2">
      <c r="B35" s="5">
        <v>50</v>
      </c>
      <c r="C35" s="5">
        <v>5.9199999999999999E-3</v>
      </c>
      <c r="D35">
        <f t="shared" si="0"/>
        <v>0.99407999999999996</v>
      </c>
      <c r="E35">
        <f t="shared" si="2"/>
        <v>0.9251606327459585</v>
      </c>
      <c r="F35">
        <f t="shared" si="4"/>
        <v>0.95542424136696258</v>
      </c>
      <c r="H35" s="14">
        <f t="shared" si="3"/>
        <v>26.593368468629421</v>
      </c>
      <c r="I35" s="14">
        <f t="shared" si="1"/>
        <v>26.593368468629397</v>
      </c>
    </row>
    <row r="36" spans="2:9" x14ac:dyDescent="0.2">
      <c r="B36" s="5">
        <v>51</v>
      </c>
      <c r="C36" s="5">
        <v>6.4200000000000004E-3</v>
      </c>
      <c r="D36">
        <f t="shared" si="0"/>
        <v>0.99358000000000002</v>
      </c>
      <c r="E36">
        <f t="shared" si="2"/>
        <v>0.91922110148372949</v>
      </c>
      <c r="F36">
        <f t="shared" si="4"/>
        <v>0.94929041773738665</v>
      </c>
      <c r="H36" s="14">
        <f t="shared" si="3"/>
        <v>25.751738762101059</v>
      </c>
      <c r="I36" s="14">
        <f t="shared" si="1"/>
        <v>25.751738762101034</v>
      </c>
    </row>
    <row r="37" spans="2:9" x14ac:dyDescent="0.2">
      <c r="B37" s="5">
        <v>52</v>
      </c>
      <c r="C37" s="5">
        <v>6.9699999999999996E-3</v>
      </c>
      <c r="D37">
        <f t="shared" si="0"/>
        <v>0.99302999999999997</v>
      </c>
      <c r="E37">
        <f t="shared" si="2"/>
        <v>0.91281413040638781</v>
      </c>
      <c r="F37">
        <f t="shared" si="4"/>
        <v>0.94267386352575699</v>
      </c>
      <c r="H37" s="14">
        <f t="shared" si="3"/>
        <v>24.918133177098028</v>
      </c>
      <c r="I37" s="14">
        <f t="shared" si="1"/>
        <v>24.918133177098003</v>
      </c>
    </row>
    <row r="38" spans="2:9" x14ac:dyDescent="0.2">
      <c r="B38" s="5">
        <v>53</v>
      </c>
      <c r="C38" s="5">
        <v>7.5799999999999999E-3</v>
      </c>
      <c r="D38">
        <f t="shared" si="0"/>
        <v>0.99241999999999997</v>
      </c>
      <c r="E38">
        <f t="shared" si="2"/>
        <v>0.9058949992979074</v>
      </c>
      <c r="F38">
        <f t="shared" si="4"/>
        <v>0.93552839564023171</v>
      </c>
      <c r="H38" s="14">
        <f t="shared" si="3"/>
        <v>24.093031607401617</v>
      </c>
      <c r="I38" s="14">
        <f t="shared" si="1"/>
        <v>24.093031607401592</v>
      </c>
    </row>
    <row r="39" spans="2:9" x14ac:dyDescent="0.2">
      <c r="B39" s="5">
        <v>54</v>
      </c>
      <c r="C39" s="5">
        <v>8.2400000000000008E-3</v>
      </c>
      <c r="D39">
        <f t="shared" si="0"/>
        <v>0.99175999999999997</v>
      </c>
      <c r="E39">
        <f t="shared" si="2"/>
        <v>0.89843042450369259</v>
      </c>
      <c r="F39">
        <f t="shared" si="4"/>
        <v>0.92781964166015618</v>
      </c>
      <c r="H39" s="14">
        <f t="shared" si="3"/>
        <v>23.27705165897666</v>
      </c>
      <c r="I39" s="14">
        <f t="shared" si="1"/>
        <v>23.277051658976635</v>
      </c>
    </row>
    <row r="40" spans="2:9" x14ac:dyDescent="0.2">
      <c r="B40" s="5">
        <v>55</v>
      </c>
      <c r="C40" s="5">
        <v>8.9599999999999992E-3</v>
      </c>
      <c r="D40">
        <f t="shared" si="0"/>
        <v>0.99104000000000003</v>
      </c>
      <c r="E40">
        <f t="shared" si="2"/>
        <v>0.89038048790013957</v>
      </c>
      <c r="F40">
        <f t="shared" si="4"/>
        <v>0.91950637767088117</v>
      </c>
      <c r="H40" s="14">
        <f t="shared" si="3"/>
        <v>22.470448151747057</v>
      </c>
      <c r="I40" s="14">
        <f t="shared" si="1"/>
        <v>22.470448151747032</v>
      </c>
    </row>
    <row r="41" spans="2:9" x14ac:dyDescent="0.2">
      <c r="B41" s="5">
        <v>56</v>
      </c>
      <c r="C41" s="5">
        <v>9.75E-3</v>
      </c>
      <c r="D41">
        <f t="shared" si="0"/>
        <v>0.99024999999999996</v>
      </c>
      <c r="E41">
        <f t="shared" si="2"/>
        <v>0.88169927814311322</v>
      </c>
      <c r="F41">
        <f t="shared" si="4"/>
        <v>0.91054119048859006</v>
      </c>
      <c r="H41" s="14">
        <f t="shared" si="3"/>
        <v>21.673603640364725</v>
      </c>
      <c r="I41" s="14">
        <f t="shared" si="1"/>
        <v>21.6736036403647</v>
      </c>
    </row>
    <row r="42" spans="2:9" x14ac:dyDescent="0.2">
      <c r="B42" s="5">
        <v>57</v>
      </c>
      <c r="C42" s="5">
        <v>1.0619999999999999E-2</v>
      </c>
      <c r="D42">
        <f t="shared" si="0"/>
        <v>0.98938000000000004</v>
      </c>
      <c r="E42">
        <f t="shared" si="2"/>
        <v>0.87233563180923335</v>
      </c>
      <c r="F42">
        <f t="shared" si="4"/>
        <v>0.90087124304560129</v>
      </c>
      <c r="H42" s="14">
        <f t="shared" si="3"/>
        <v>20.887001908977254</v>
      </c>
      <c r="I42" s="14">
        <f t="shared" si="1"/>
        <v>20.887001908977229</v>
      </c>
    </row>
    <row r="43" spans="2:9" x14ac:dyDescent="0.2">
      <c r="B43" s="5">
        <v>58</v>
      </c>
      <c r="C43" s="5">
        <v>1.158E-2</v>
      </c>
      <c r="D43">
        <f t="shared" si="0"/>
        <v>0.98841999999999997</v>
      </c>
      <c r="E43">
        <f t="shared" si="2"/>
        <v>0.86223398519288241</v>
      </c>
      <c r="F43">
        <f t="shared" si="4"/>
        <v>0.89043915405113316</v>
      </c>
      <c r="H43" s="14">
        <f t="shared" si="3"/>
        <v>20.111202883601099</v>
      </c>
      <c r="I43" s="14">
        <f t="shared" si="1"/>
        <v>20.11120288360107</v>
      </c>
    </row>
    <row r="44" spans="2:9" x14ac:dyDescent="0.2">
      <c r="B44" s="5">
        <v>59</v>
      </c>
      <c r="C44" s="5">
        <v>1.2619999999999999E-2</v>
      </c>
      <c r="D44">
        <f t="shared" si="0"/>
        <v>0.98738000000000004</v>
      </c>
      <c r="E44">
        <f t="shared" si="2"/>
        <v>0.85135259229974825</v>
      </c>
      <c r="F44">
        <f t="shared" si="4"/>
        <v>0.87920181192700786</v>
      </c>
      <c r="H44" s="14">
        <f t="shared" si="3"/>
        <v>19.346819048179011</v>
      </c>
      <c r="I44" s="14">
        <f t="shared" si="1"/>
        <v>19.346819048178983</v>
      </c>
    </row>
    <row r="45" spans="2:9" x14ac:dyDescent="0.2">
      <c r="B45" s="5">
        <v>60</v>
      </c>
      <c r="C45" s="5">
        <v>1.376E-2</v>
      </c>
      <c r="D45">
        <f t="shared" si="0"/>
        <v>0.98624000000000001</v>
      </c>
      <c r="E45">
        <f t="shared" si="2"/>
        <v>0.83963798062970374</v>
      </c>
      <c r="F45">
        <f t="shared" si="4"/>
        <v>0.86710399499489221</v>
      </c>
      <c r="H45" s="14">
        <f t="shared" si="3"/>
        <v>18.594096546597065</v>
      </c>
      <c r="I45" s="14">
        <f t="shared" si="1"/>
        <v>18.594096546597036</v>
      </c>
    </row>
    <row r="46" spans="2:9" x14ac:dyDescent="0.2">
      <c r="B46" s="5">
        <v>61</v>
      </c>
      <c r="C46" s="5">
        <v>1.5010000000000001E-2</v>
      </c>
      <c r="D46">
        <f t="shared" si="0"/>
        <v>0.98499000000000003</v>
      </c>
      <c r="E46">
        <f t="shared" si="2"/>
        <v>0.82703501454045192</v>
      </c>
      <c r="F46">
        <f t="shared" si="4"/>
        <v>0.85408876403001888</v>
      </c>
      <c r="H46" s="14">
        <f t="shared" si="3"/>
        <v>17.853520995495078</v>
      </c>
      <c r="I46" s="14">
        <f t="shared" si="1"/>
        <v>17.85352099549505</v>
      </c>
    </row>
    <row r="47" spans="2:9" x14ac:dyDescent="0.2">
      <c r="B47" s="5">
        <v>62</v>
      </c>
      <c r="C47" s="5">
        <v>1.6379999999999999E-2</v>
      </c>
      <c r="D47">
        <f t="shared" si="0"/>
        <v>0.98362000000000005</v>
      </c>
      <c r="E47">
        <f t="shared" si="2"/>
        <v>0.81348818100227938</v>
      </c>
      <c r="F47">
        <f t="shared" si="4"/>
        <v>0.84009879007520716</v>
      </c>
      <c r="H47" s="14">
        <f t="shared" si="3"/>
        <v>17.125586041985276</v>
      </c>
      <c r="I47" s="14">
        <f t="shared" si="1"/>
        <v>17.125586041985247</v>
      </c>
    </row>
    <row r="48" spans="2:9" x14ac:dyDescent="0.2">
      <c r="B48" s="5">
        <v>63</v>
      </c>
      <c r="C48" s="5">
        <v>1.788E-2</v>
      </c>
      <c r="D48">
        <f t="shared" si="0"/>
        <v>0.98211999999999999</v>
      </c>
      <c r="E48">
        <f t="shared" si="2"/>
        <v>0.79894301232595866</v>
      </c>
      <c r="F48">
        <f t="shared" si="4"/>
        <v>0.82507782370866245</v>
      </c>
      <c r="H48" s="14">
        <f t="shared" si="3"/>
        <v>16.410774528766471</v>
      </c>
      <c r="I48" s="14">
        <f t="shared" si="1"/>
        <v>16.410774528766442</v>
      </c>
    </row>
    <row r="49" spans="2:9" x14ac:dyDescent="0.2">
      <c r="B49" s="5">
        <v>64</v>
      </c>
      <c r="C49" s="5">
        <v>1.9519999999999999E-2</v>
      </c>
      <c r="D49">
        <f t="shared" si="0"/>
        <v>0.98048000000000002</v>
      </c>
      <c r="E49">
        <f t="shared" si="2"/>
        <v>0.78334764472535601</v>
      </c>
      <c r="F49">
        <f t="shared" si="4"/>
        <v>0.80897230458986935</v>
      </c>
      <c r="H49" s="14">
        <f t="shared" si="3"/>
        <v>15.709541124064749</v>
      </c>
      <c r="I49" s="14">
        <f t="shared" si="1"/>
        <v>15.709541124064719</v>
      </c>
    </row>
    <row r="50" spans="2:9" x14ac:dyDescent="0.2">
      <c r="B50" s="5">
        <v>65</v>
      </c>
      <c r="C50" s="5">
        <v>2.0920000000000001E-2</v>
      </c>
      <c r="D50">
        <f t="shared" ref="D50:D95" si="5">1-C50</f>
        <v>0.97907999999999995</v>
      </c>
      <c r="E50">
        <f t="shared" si="2"/>
        <v>0.76696001199770147</v>
      </c>
      <c r="F50">
        <f t="shared" si="4"/>
        <v>0.79204860397784926</v>
      </c>
      <c r="H50" s="14">
        <f t="shared" si="3"/>
        <v>15.022296348793191</v>
      </c>
      <c r="I50" s="14">
        <f t="shared" si="1"/>
        <v>15.022296348793164</v>
      </c>
    </row>
    <row r="51" spans="2:9" x14ac:dyDescent="0.2">
      <c r="B51" s="5">
        <v>66</v>
      </c>
      <c r="C51" s="5">
        <v>2.368E-2</v>
      </c>
      <c r="D51">
        <f t="shared" si="5"/>
        <v>0.97631999999999997</v>
      </c>
      <c r="E51">
        <f t="shared" ref="E51:E95" si="6">D51*E50</f>
        <v>0.7487983989135959</v>
      </c>
      <c r="F51">
        <f t="shared" si="4"/>
        <v>0.77329289303565374</v>
      </c>
      <c r="H51" s="14">
        <f t="shared" ref="H51:H95" si="7">H50/D50-1</f>
        <v>14.34327771866772</v>
      </c>
      <c r="I51" s="14">
        <f t="shared" si="1"/>
        <v>14.343277718667693</v>
      </c>
    </row>
    <row r="52" spans="2:9" x14ac:dyDescent="0.2">
      <c r="B52" s="5">
        <v>67</v>
      </c>
      <c r="C52" s="5">
        <v>2.5440000000000001E-2</v>
      </c>
      <c r="D52">
        <f t="shared" si="5"/>
        <v>0.97455999999999998</v>
      </c>
      <c r="E52">
        <f t="shared" si="6"/>
        <v>0.729748967645234</v>
      </c>
      <c r="F52">
        <f t="shared" si="4"/>
        <v>0.7536203218368267</v>
      </c>
      <c r="H52" s="14">
        <f t="shared" si="7"/>
        <v>13.691164493882866</v>
      </c>
      <c r="I52" s="14">
        <f t="shared" si="1"/>
        <v>13.691164493882839</v>
      </c>
    </row>
    <row r="53" spans="2:9" x14ac:dyDescent="0.2">
      <c r="B53" s="5">
        <v>68</v>
      </c>
      <c r="C53" s="5">
        <v>2.7789999999999999E-2</v>
      </c>
      <c r="D53">
        <f t="shared" si="5"/>
        <v>0.97221000000000002</v>
      </c>
      <c r="E53">
        <f t="shared" si="6"/>
        <v>0.70946924383437293</v>
      </c>
      <c r="F53">
        <f t="shared" si="4"/>
        <v>0.73267721309298128</v>
      </c>
      <c r="H53" s="14">
        <f t="shared" si="7"/>
        <v>13.048559856635677</v>
      </c>
      <c r="I53" s="14">
        <f t="shared" si="1"/>
        <v>13.04855985663565</v>
      </c>
    </row>
    <row r="54" spans="2:9" x14ac:dyDescent="0.2">
      <c r="B54" s="5">
        <v>69</v>
      </c>
      <c r="C54" s="5">
        <v>3.0370000000000001E-2</v>
      </c>
      <c r="D54">
        <f t="shared" si="5"/>
        <v>0.96962999999999999</v>
      </c>
      <c r="E54">
        <f t="shared" si="6"/>
        <v>0.68792266289912307</v>
      </c>
      <c r="F54">
        <f t="shared" si="4"/>
        <v>0.71042580613134743</v>
      </c>
      <c r="H54" s="14">
        <f t="shared" si="7"/>
        <v>12.421544580528566</v>
      </c>
      <c r="I54" s="14">
        <f t="shared" si="1"/>
        <v>12.421544580528538</v>
      </c>
    </row>
    <row r="55" spans="2:9" x14ac:dyDescent="0.2">
      <c r="B55" s="5">
        <v>70</v>
      </c>
      <c r="C55" s="5">
        <v>3.3180000000000001E-2</v>
      </c>
      <c r="D55">
        <f t="shared" si="5"/>
        <v>0.96682000000000001</v>
      </c>
      <c r="E55">
        <f t="shared" si="6"/>
        <v>0.66509738894413017</v>
      </c>
      <c r="F55">
        <f t="shared" si="4"/>
        <v>0.68685387788390928</v>
      </c>
      <c r="H55" s="14">
        <f t="shared" si="7"/>
        <v>11.810602580910828</v>
      </c>
      <c r="I55" s="14">
        <f t="shared" si="1"/>
        <v>11.8106025809108</v>
      </c>
    </row>
    <row r="56" spans="2:9" x14ac:dyDescent="0.2">
      <c r="B56" s="5">
        <v>71</v>
      </c>
      <c r="C56" s="5">
        <v>3.6260000000000001E-2</v>
      </c>
      <c r="D56">
        <f t="shared" si="5"/>
        <v>0.96374000000000004</v>
      </c>
      <c r="E56">
        <f t="shared" si="6"/>
        <v>0.64098095762101603</v>
      </c>
      <c r="F56">
        <f t="shared" si="4"/>
        <v>0.66194855627183879</v>
      </c>
      <c r="H56" s="14">
        <f t="shared" si="7"/>
        <v>11.215927040101393</v>
      </c>
      <c r="I56" s="14">
        <f t="shared" si="1"/>
        <v>11.215927040101363</v>
      </c>
    </row>
    <row r="57" spans="2:9" x14ac:dyDescent="0.2">
      <c r="B57" s="5">
        <v>72</v>
      </c>
      <c r="C57" s="5">
        <v>3.9620000000000002E-2</v>
      </c>
      <c r="D57">
        <f t="shared" si="5"/>
        <v>0.96038000000000001</v>
      </c>
      <c r="E57">
        <f t="shared" si="6"/>
        <v>0.6155852920800714</v>
      </c>
      <c r="F57">
        <f t="shared" si="4"/>
        <v>0.63572215447234859</v>
      </c>
      <c r="H57" s="14">
        <f t="shared" si="7"/>
        <v>10.637917944779081</v>
      </c>
      <c r="I57" s="14">
        <f t="shared" si="1"/>
        <v>10.637917944779051</v>
      </c>
    </row>
    <row r="58" spans="2:9" x14ac:dyDescent="0.2">
      <c r="B58" s="5">
        <v>73</v>
      </c>
      <c r="C58" s="5">
        <v>4.3299999999999998E-2</v>
      </c>
      <c r="D58">
        <f t="shared" si="5"/>
        <v>0.95669999999999999</v>
      </c>
      <c r="E58">
        <f t="shared" si="6"/>
        <v>0.58893044893300428</v>
      </c>
      <c r="F58">
        <f t="shared" si="4"/>
        <v>0.60819538518369587</v>
      </c>
      <c r="H58" s="14">
        <f t="shared" si="7"/>
        <v>10.076779967074575</v>
      </c>
      <c r="I58" s="14">
        <f t="shared" si="1"/>
        <v>10.076779967074545</v>
      </c>
    </row>
    <row r="59" spans="2:9" x14ac:dyDescent="0.2">
      <c r="B59" s="5">
        <v>74</v>
      </c>
      <c r="C59" s="5">
        <v>4.7309999999999998E-2</v>
      </c>
      <c r="D59">
        <f t="shared" si="5"/>
        <v>0.95269000000000004</v>
      </c>
      <c r="E59">
        <f t="shared" si="6"/>
        <v>0.56106814939398386</v>
      </c>
      <c r="F59">
        <f t="shared" si="4"/>
        <v>0.57942166151065522</v>
      </c>
      <c r="H59" s="14">
        <f t="shared" si="7"/>
        <v>9.5328524794340712</v>
      </c>
      <c r="I59" s="14">
        <f t="shared" si="1"/>
        <v>9.5328524794340392</v>
      </c>
    </row>
    <row r="60" spans="2:9" x14ac:dyDescent="0.2">
      <c r="B60" s="5">
        <v>75</v>
      </c>
      <c r="C60" s="5">
        <v>5.169E-2</v>
      </c>
      <c r="D60">
        <f t="shared" si="5"/>
        <v>0.94830999999999999</v>
      </c>
      <c r="E60">
        <f t="shared" si="6"/>
        <v>0.53206653675180882</v>
      </c>
      <c r="F60">
        <f t="shared" si="4"/>
        <v>0.54947135582716944</v>
      </c>
      <c r="H60" s="14">
        <f t="shared" si="7"/>
        <v>9.0062480759051429</v>
      </c>
      <c r="I60" s="14">
        <f t="shared" si="1"/>
        <v>9.0062480759051091</v>
      </c>
    </row>
    <row r="61" spans="2:9" x14ac:dyDescent="0.2">
      <c r="B61" s="5">
        <v>76</v>
      </c>
      <c r="C61" s="5">
        <v>5.6469999999999999E-2</v>
      </c>
      <c r="D61">
        <f t="shared" si="5"/>
        <v>0.94352999999999998</v>
      </c>
      <c r="E61">
        <f t="shared" si="6"/>
        <v>0.50202073942143421</v>
      </c>
      <c r="F61">
        <f t="shared" si="4"/>
        <v>0.51844270836360917</v>
      </c>
      <c r="H61" s="14">
        <f t="shared" si="7"/>
        <v>8.4971560733358746</v>
      </c>
      <c r="I61" s="14">
        <f t="shared" si="1"/>
        <v>8.4971560733358391</v>
      </c>
    </row>
    <row r="62" spans="2:9" x14ac:dyDescent="0.2">
      <c r="B62" s="5">
        <v>77</v>
      </c>
      <c r="C62" s="5">
        <v>6.1679999999999999E-2</v>
      </c>
      <c r="D62">
        <f t="shared" si="5"/>
        <v>0.93832000000000004</v>
      </c>
      <c r="E62">
        <f t="shared" si="6"/>
        <v>0.47105610021392019</v>
      </c>
      <c r="F62">
        <f t="shared" si="4"/>
        <v>0.48646516211174179</v>
      </c>
      <c r="H62" s="14">
        <f t="shared" si="7"/>
        <v>8.0057084282808972</v>
      </c>
      <c r="I62" s="14">
        <f t="shared" si="1"/>
        <v>8.0057084282808599</v>
      </c>
    </row>
    <row r="63" spans="2:9" x14ac:dyDescent="0.2">
      <c r="B63" s="5">
        <v>78</v>
      </c>
      <c r="C63" s="5">
        <v>6.7369999999999999E-2</v>
      </c>
      <c r="D63">
        <f t="shared" si="5"/>
        <v>0.93262999999999996</v>
      </c>
      <c r="E63">
        <f t="shared" si="6"/>
        <v>0.43932105074250838</v>
      </c>
      <c r="F63">
        <f t="shared" si="4"/>
        <v>0.45369200414027372</v>
      </c>
      <c r="H63" s="14">
        <f t="shared" si="7"/>
        <v>7.5319597027462883</v>
      </c>
      <c r="I63" s="14">
        <f t="shared" si="1"/>
        <v>7.5319597027462475</v>
      </c>
    </row>
    <row r="64" spans="2:9" x14ac:dyDescent="0.2">
      <c r="B64" s="5">
        <v>79</v>
      </c>
      <c r="C64" s="5">
        <v>7.356E-2</v>
      </c>
      <c r="D64">
        <f t="shared" si="5"/>
        <v>0.92644000000000004</v>
      </c>
      <c r="E64">
        <f t="shared" si="6"/>
        <v>0.4070045942498895</v>
      </c>
      <c r="F64">
        <f t="shared" si="4"/>
        <v>0.4203184203157152</v>
      </c>
      <c r="H64" s="14">
        <f t="shared" si="7"/>
        <v>7.0760426994052175</v>
      </c>
      <c r="I64" s="14">
        <f t="shared" si="1"/>
        <v>7.0760426994051739</v>
      </c>
    </row>
    <row r="65" spans="2:9" x14ac:dyDescent="0.2">
      <c r="B65" s="5">
        <v>80</v>
      </c>
      <c r="C65" s="5">
        <v>8.0299999999999996E-2</v>
      </c>
      <c r="D65">
        <f t="shared" si="5"/>
        <v>0.91969999999999996</v>
      </c>
      <c r="E65">
        <f t="shared" si="6"/>
        <v>0.37432212533162335</v>
      </c>
      <c r="F65">
        <f t="shared" si="4"/>
        <v>0.38656685116436323</v>
      </c>
      <c r="H65" s="14">
        <f t="shared" si="7"/>
        <v>6.637885561294004</v>
      </c>
      <c r="I65" s="14">
        <f t="shared" si="1"/>
        <v>6.6378855612939569</v>
      </c>
    </row>
    <row r="66" spans="2:9" x14ac:dyDescent="0.2">
      <c r="B66" s="5">
        <v>81</v>
      </c>
      <c r="C66" s="5">
        <v>8.7639999999999996E-2</v>
      </c>
      <c r="D66">
        <f t="shared" si="5"/>
        <v>0.91236000000000006</v>
      </c>
      <c r="E66">
        <f t="shared" si="6"/>
        <v>0.3415165342675599</v>
      </c>
      <c r="F66">
        <f t="shared" si="4"/>
        <v>0.35268813232831847</v>
      </c>
      <c r="H66" s="14">
        <f t="shared" si="7"/>
        <v>6.2174465165749746</v>
      </c>
      <c r="I66" s="14">
        <f t="shared" si="1"/>
        <v>6.2174465165749231</v>
      </c>
    </row>
    <row r="67" spans="2:9" x14ac:dyDescent="0.2">
      <c r="B67" s="5">
        <v>82</v>
      </c>
      <c r="C67" s="5">
        <v>9.5610000000000001E-2</v>
      </c>
      <c r="D67">
        <f t="shared" si="5"/>
        <v>0.90439000000000003</v>
      </c>
      <c r="E67">
        <f t="shared" si="6"/>
        <v>0.3088641384262385</v>
      </c>
      <c r="F67">
        <f t="shared" si="4"/>
        <v>0.31896761999640794</v>
      </c>
      <c r="H67" s="14">
        <f t="shared" si="7"/>
        <v>5.8146855589624424</v>
      </c>
      <c r="I67" s="14">
        <f t="shared" si="1"/>
        <v>5.8146855589623865</v>
      </c>
    </row>
    <row r="68" spans="2:9" x14ac:dyDescent="0.2">
      <c r="B68" s="5">
        <v>83</v>
      </c>
      <c r="C68" s="5">
        <v>0.10428</v>
      </c>
      <c r="D68">
        <f t="shared" si="5"/>
        <v>0.89571999999999996</v>
      </c>
      <c r="E68">
        <f t="shared" si="6"/>
        <v>0.27665578607115032</v>
      </c>
      <c r="F68">
        <f t="shared" si="4"/>
        <v>0.28570567658318252</v>
      </c>
      <c r="H68" s="14">
        <f t="shared" si="7"/>
        <v>5.4294005450772813</v>
      </c>
      <c r="I68" s="14">
        <f t="shared" si="1"/>
        <v>5.4294005450772191</v>
      </c>
    </row>
    <row r="69" spans="2:9" x14ac:dyDescent="0.2">
      <c r="B69" s="5">
        <v>84</v>
      </c>
      <c r="C69" s="5">
        <v>0.11369</v>
      </c>
      <c r="D69">
        <f t="shared" si="5"/>
        <v>0.88631000000000004</v>
      </c>
      <c r="E69">
        <f t="shared" si="6"/>
        <v>0.24520278975272125</v>
      </c>
      <c r="F69">
        <f t="shared" si="4"/>
        <v>0.25322379821244051</v>
      </c>
      <c r="H69" s="14">
        <f t="shared" si="7"/>
        <v>5.0614930392056463</v>
      </c>
      <c r="I69" s="14">
        <f t="shared" ref="I69:I94" si="8">D69*(1+I70)</f>
        <v>5.061493039205577</v>
      </c>
    </row>
    <row r="70" spans="2:9" x14ac:dyDescent="0.2">
      <c r="B70" s="5">
        <v>85</v>
      </c>
      <c r="C70" s="5">
        <v>0.12389</v>
      </c>
      <c r="D70">
        <f t="shared" si="5"/>
        <v>0.87610999999999994</v>
      </c>
      <c r="E70">
        <f t="shared" si="6"/>
        <v>0.21482461613025661</v>
      </c>
      <c r="F70">
        <f t="shared" si="4"/>
        <v>0.22185190185190123</v>
      </c>
      <c r="H70" s="14">
        <f t="shared" si="7"/>
        <v>4.7107479766736766</v>
      </c>
      <c r="I70" s="14">
        <f t="shared" si="8"/>
        <v>4.7107479766735985</v>
      </c>
    </row>
    <row r="71" spans="2:9" x14ac:dyDescent="0.2">
      <c r="B71" s="5">
        <v>86</v>
      </c>
      <c r="C71" s="5">
        <v>0.13494</v>
      </c>
      <c r="D71">
        <f t="shared" si="5"/>
        <v>0.86505999999999994</v>
      </c>
      <c r="E71">
        <f t="shared" si="6"/>
        <v>0.18583618242963976</v>
      </c>
      <c r="F71">
        <f t="shared" ref="F71:F95" si="9">D71*F70</f>
        <v>0.19191520621600566</v>
      </c>
      <c r="H71" s="14">
        <f t="shared" si="7"/>
        <v>4.3768910030403454</v>
      </c>
      <c r="I71" s="14">
        <f t="shared" si="8"/>
        <v>4.3768910030402566</v>
      </c>
    </row>
    <row r="72" spans="2:9" x14ac:dyDescent="0.2">
      <c r="B72" s="5">
        <v>87</v>
      </c>
      <c r="C72" s="5">
        <v>0.14688999999999999</v>
      </c>
      <c r="D72">
        <f t="shared" si="5"/>
        <v>0.85311000000000003</v>
      </c>
      <c r="E72">
        <f t="shared" si="6"/>
        <v>0.15853870559254998</v>
      </c>
      <c r="F72">
        <f t="shared" si="9"/>
        <v>0.16372478157493658</v>
      </c>
      <c r="H72" s="14">
        <f t="shared" si="7"/>
        <v>4.0596386412969574</v>
      </c>
      <c r="I72" s="14">
        <f t="shared" si="8"/>
        <v>4.0596386412968544</v>
      </c>
    </row>
    <row r="73" spans="2:9" x14ac:dyDescent="0.2">
      <c r="B73" s="5">
        <v>88</v>
      </c>
      <c r="C73" s="5">
        <v>0.15981000000000001</v>
      </c>
      <c r="D73">
        <f t="shared" si="5"/>
        <v>0.84018999999999999</v>
      </c>
      <c r="E73">
        <f t="shared" si="6"/>
        <v>0.13320263505180457</v>
      </c>
      <c r="F73">
        <f t="shared" si="9"/>
        <v>0.13755992423144597</v>
      </c>
      <c r="H73" s="14">
        <f t="shared" si="7"/>
        <v>3.7586344566315679</v>
      </c>
      <c r="I73" s="14">
        <f t="shared" si="8"/>
        <v>3.758634456631448</v>
      </c>
    </row>
    <row r="74" spans="2:9" x14ac:dyDescent="0.2">
      <c r="B74" s="5">
        <v>89</v>
      </c>
      <c r="C74" s="5">
        <v>0.17374999999999999</v>
      </c>
      <c r="D74">
        <f t="shared" si="5"/>
        <v>0.82625000000000004</v>
      </c>
      <c r="E74">
        <f t="shared" si="6"/>
        <v>0.11005867721155353</v>
      </c>
      <c r="F74">
        <f t="shared" si="9"/>
        <v>0.11365888739623224</v>
      </c>
      <c r="H74" s="14">
        <f t="shared" si="7"/>
        <v>3.4735529542503096</v>
      </c>
      <c r="I74" s="14">
        <f t="shared" si="8"/>
        <v>3.4735529542501675</v>
      </c>
    </row>
    <row r="75" spans="2:9" x14ac:dyDescent="0.2">
      <c r="B75" s="5">
        <v>90</v>
      </c>
      <c r="C75" s="5">
        <v>0.18876999999999999</v>
      </c>
      <c r="D75">
        <f t="shared" si="5"/>
        <v>0.81123000000000001</v>
      </c>
      <c r="E75">
        <f t="shared" si="6"/>
        <v>8.9282900714328567E-2</v>
      </c>
      <c r="F75">
        <f t="shared" si="9"/>
        <v>9.2203499222445487E-2</v>
      </c>
      <c r="H75" s="14">
        <f t="shared" si="7"/>
        <v>3.2039975240548371</v>
      </c>
      <c r="I75" s="14">
        <f t="shared" si="8"/>
        <v>3.2039975240546656</v>
      </c>
    </row>
    <row r="76" spans="2:9" x14ac:dyDescent="0.2">
      <c r="B76" s="5">
        <v>91</v>
      </c>
      <c r="C76" s="5">
        <v>0.20493</v>
      </c>
      <c r="D76">
        <f t="shared" si="5"/>
        <v>0.79506999999999994</v>
      </c>
      <c r="E76">
        <f t="shared" si="6"/>
        <v>7.0986155870941203E-2</v>
      </c>
      <c r="F76">
        <f t="shared" si="9"/>
        <v>7.330823612678973E-2</v>
      </c>
      <c r="H76" s="14">
        <f t="shared" si="7"/>
        <v>2.9495550263856578</v>
      </c>
      <c r="I76" s="14">
        <f t="shared" si="8"/>
        <v>2.9495550263854464</v>
      </c>
    </row>
    <row r="77" spans="2:9" x14ac:dyDescent="0.2">
      <c r="B77" s="5">
        <v>92</v>
      </c>
      <c r="C77" s="5">
        <v>0.22227</v>
      </c>
      <c r="D77">
        <f t="shared" si="5"/>
        <v>0.77773000000000003</v>
      </c>
      <c r="E77">
        <f t="shared" si="6"/>
        <v>5.5208063005507103E-2</v>
      </c>
      <c r="F77">
        <f t="shared" si="9"/>
        <v>5.7014014482888183E-2</v>
      </c>
      <c r="H77" s="14">
        <f t="shared" si="7"/>
        <v>2.7098054591239236</v>
      </c>
      <c r="I77" s="14">
        <f t="shared" si="8"/>
        <v>2.709805459123658</v>
      </c>
    </row>
    <row r="78" spans="2:9" x14ac:dyDescent="0.2">
      <c r="B78" s="5">
        <v>93</v>
      </c>
      <c r="C78" s="5">
        <v>0.24085999999999999</v>
      </c>
      <c r="D78">
        <f t="shared" si="5"/>
        <v>0.75914000000000004</v>
      </c>
      <c r="E78">
        <f t="shared" si="6"/>
        <v>4.1910648950000663E-2</v>
      </c>
      <c r="F78">
        <f t="shared" si="9"/>
        <v>4.328161895453974E-2</v>
      </c>
      <c r="H78" s="14">
        <f t="shared" si="7"/>
        <v>2.4842496227790152</v>
      </c>
      <c r="I78" s="14">
        <f t="shared" si="8"/>
        <v>2.4842496227786737</v>
      </c>
    </row>
    <row r="79" spans="2:9" x14ac:dyDescent="0.2">
      <c r="B79" s="5">
        <v>94</v>
      </c>
      <c r="C79" s="5">
        <v>0.26073000000000002</v>
      </c>
      <c r="D79">
        <f t="shared" si="5"/>
        <v>0.73926999999999998</v>
      </c>
      <c r="E79">
        <f t="shared" si="6"/>
        <v>3.0983285449266991E-2</v>
      </c>
      <c r="F79">
        <f t="shared" si="9"/>
        <v>3.199680244452259E-2</v>
      </c>
      <c r="H79" s="14">
        <f t="shared" si="7"/>
        <v>2.2724525420594555</v>
      </c>
      <c r="I79" s="14">
        <f t="shared" si="8"/>
        <v>2.2724525420590056</v>
      </c>
    </row>
    <row r="80" spans="2:9" x14ac:dyDescent="0.2">
      <c r="B80" s="5">
        <v>95</v>
      </c>
      <c r="C80" s="5">
        <v>0.28190999999999999</v>
      </c>
      <c r="D80">
        <f t="shared" si="5"/>
        <v>0.71809000000000001</v>
      </c>
      <c r="E80">
        <f t="shared" si="6"/>
        <v>2.2248787448264133E-2</v>
      </c>
      <c r="F80">
        <f t="shared" si="9"/>
        <v>2.2976583867387226E-2</v>
      </c>
      <c r="H80" s="14">
        <f t="shared" si="7"/>
        <v>2.0739141884013357</v>
      </c>
      <c r="I80" s="14">
        <f t="shared" si="8"/>
        <v>2.0739141884007273</v>
      </c>
    </row>
    <row r="81" spans="2:9" x14ac:dyDescent="0.2">
      <c r="B81" s="5">
        <v>96</v>
      </c>
      <c r="C81" s="5">
        <v>0.30445</v>
      </c>
      <c r="D81">
        <f t="shared" si="5"/>
        <v>0.69555</v>
      </c>
      <c r="E81">
        <f t="shared" si="6"/>
        <v>1.5475144109640118E-2</v>
      </c>
      <c r="F81">
        <f t="shared" si="9"/>
        <v>1.5981362908961187E-2</v>
      </c>
      <c r="H81" s="14">
        <f t="shared" si="7"/>
        <v>1.8880978545883327</v>
      </c>
      <c r="I81" s="14">
        <f t="shared" si="8"/>
        <v>1.8880978545874856</v>
      </c>
    </row>
    <row r="82" spans="2:9" x14ac:dyDescent="0.2">
      <c r="B82" s="5">
        <v>97</v>
      </c>
      <c r="C82" s="5">
        <v>0.32834000000000002</v>
      </c>
      <c r="D82">
        <f t="shared" si="5"/>
        <v>0.67165999999999992</v>
      </c>
      <c r="E82">
        <f t="shared" si="6"/>
        <v>1.0394035292680881E-2</v>
      </c>
      <c r="F82">
        <f t="shared" si="9"/>
        <v>1.0734042211432869E-2</v>
      </c>
      <c r="H82" s="14">
        <f t="shared" si="7"/>
        <v>1.714539363939807</v>
      </c>
      <c r="I82" s="14">
        <f t="shared" si="8"/>
        <v>1.7145393639385886</v>
      </c>
    </row>
    <row r="83" spans="2:9" x14ac:dyDescent="0.2">
      <c r="B83" s="5">
        <v>98</v>
      </c>
      <c r="C83" s="5">
        <v>0.35360000000000003</v>
      </c>
      <c r="D83">
        <f t="shared" si="5"/>
        <v>0.64639999999999997</v>
      </c>
      <c r="E83">
        <f t="shared" si="6"/>
        <v>6.7187044131889213E-3</v>
      </c>
      <c r="F83">
        <f t="shared" si="9"/>
        <v>6.9384848854702058E-3</v>
      </c>
      <c r="H83" s="14">
        <f t="shared" si="7"/>
        <v>1.5526894022865845</v>
      </c>
      <c r="I83" s="14">
        <f t="shared" si="8"/>
        <v>1.5526894022847704</v>
      </c>
    </row>
    <row r="84" spans="2:9" x14ac:dyDescent="0.2">
      <c r="B84" s="5">
        <v>99</v>
      </c>
      <c r="C84" s="5">
        <v>0.38019999999999998</v>
      </c>
      <c r="D84">
        <f t="shared" si="5"/>
        <v>0.61980000000000002</v>
      </c>
      <c r="E84">
        <f t="shared" si="6"/>
        <v>4.1642529952944938E-3</v>
      </c>
      <c r="F84">
        <f t="shared" si="9"/>
        <v>4.300472932014434E-3</v>
      </c>
      <c r="H84" s="14">
        <f t="shared" si="7"/>
        <v>1.4020566248245427</v>
      </c>
      <c r="I84" s="14">
        <f t="shared" si="8"/>
        <v>1.4020566248217363</v>
      </c>
    </row>
    <row r="85" spans="2:9" x14ac:dyDescent="0.2">
      <c r="B85" s="5">
        <v>100</v>
      </c>
      <c r="C85" s="5">
        <v>0.40811999999999998</v>
      </c>
      <c r="D85">
        <f t="shared" si="5"/>
        <v>0.59187999999999996</v>
      </c>
      <c r="E85">
        <f t="shared" si="6"/>
        <v>2.4647380628549046E-3</v>
      </c>
      <c r="F85">
        <f t="shared" si="9"/>
        <v>2.5453639190007029E-3</v>
      </c>
      <c r="H85" s="14">
        <f t="shared" si="7"/>
        <v>1.2621113662867742</v>
      </c>
      <c r="I85" s="14">
        <f t="shared" si="8"/>
        <v>1.2621113662822461</v>
      </c>
    </row>
    <row r="86" spans="2:9" x14ac:dyDescent="0.2">
      <c r="B86" s="5">
        <v>101</v>
      </c>
      <c r="C86" s="5">
        <v>0.43728</v>
      </c>
      <c r="D86">
        <f t="shared" si="5"/>
        <v>0.56272</v>
      </c>
      <c r="E86">
        <f t="shared" si="6"/>
        <v>1.3869574027297119E-3</v>
      </c>
      <c r="F86">
        <f t="shared" si="9"/>
        <v>1.4323271845000755E-3</v>
      </c>
      <c r="H86" s="14">
        <f t="shared" si="7"/>
        <v>1.1323771140886234</v>
      </c>
      <c r="I86" s="14">
        <f t="shared" si="8"/>
        <v>1.1323771140809726</v>
      </c>
    </row>
    <row r="87" spans="2:9" x14ac:dyDescent="0.2">
      <c r="B87" s="5">
        <v>102</v>
      </c>
      <c r="C87" s="5">
        <v>0.46761000000000003</v>
      </c>
      <c r="D87">
        <f t="shared" si="5"/>
        <v>0.53238999999999992</v>
      </c>
      <c r="E87">
        <f t="shared" si="6"/>
        <v>7.3840225163927114E-4</v>
      </c>
      <c r="F87">
        <f t="shared" si="9"/>
        <v>7.6255666975599508E-4</v>
      </c>
      <c r="H87" s="14">
        <f t="shared" si="7"/>
        <v>1.0123278257190491</v>
      </c>
      <c r="I87" s="14">
        <f t="shared" si="8"/>
        <v>1.0123278257054533</v>
      </c>
    </row>
    <row r="88" spans="2:9" x14ac:dyDescent="0.2">
      <c r="B88" s="5">
        <v>103</v>
      </c>
      <c r="C88" s="5">
        <v>0.49898999999999999</v>
      </c>
      <c r="D88">
        <f t="shared" si="5"/>
        <v>0.50100999999999996</v>
      </c>
      <c r="E88">
        <f t="shared" si="6"/>
        <v>3.6994691209379119E-4</v>
      </c>
      <c r="F88">
        <f t="shared" si="9"/>
        <v>3.8204851711445104E-4</v>
      </c>
      <c r="H88" s="14">
        <f t="shared" si="7"/>
        <v>0.90147791228056362</v>
      </c>
      <c r="I88" s="14">
        <f t="shared" si="8"/>
        <v>0.90147791225502649</v>
      </c>
    </row>
    <row r="89" spans="2:9" x14ac:dyDescent="0.2">
      <c r="B89" s="5">
        <v>104</v>
      </c>
      <c r="C89" s="5">
        <v>0.53127999999999997</v>
      </c>
      <c r="D89">
        <f t="shared" si="5"/>
        <v>0.46872000000000003</v>
      </c>
      <c r="E89">
        <f t="shared" si="6"/>
        <v>1.734015166366018E-4</v>
      </c>
      <c r="F89">
        <f t="shared" si="9"/>
        <v>1.7907378094188551E-4</v>
      </c>
      <c r="H89" s="14">
        <f t="shared" si="7"/>
        <v>0.79932119574572114</v>
      </c>
      <c r="I89" s="14">
        <f t="shared" si="8"/>
        <v>0.79932119569474969</v>
      </c>
    </row>
    <row r="90" spans="2:9" x14ac:dyDescent="0.2">
      <c r="B90" s="5">
        <v>105</v>
      </c>
      <c r="C90" s="5">
        <v>0.56428999999999996</v>
      </c>
      <c r="D90">
        <f t="shared" si="5"/>
        <v>0.43571000000000004</v>
      </c>
      <c r="E90">
        <f t="shared" si="6"/>
        <v>7.5552774813733773E-5</v>
      </c>
      <c r="F90">
        <f t="shared" si="9"/>
        <v>7.8024237094188938E-5</v>
      </c>
      <c r="H90" s="14">
        <f t="shared" si="7"/>
        <v>0.70532769189648636</v>
      </c>
      <c r="I90" s="14">
        <f t="shared" si="8"/>
        <v>0.70532769178774024</v>
      </c>
    </row>
    <row r="91" spans="2:9" x14ac:dyDescent="0.2">
      <c r="B91" s="5">
        <v>106</v>
      </c>
      <c r="C91" s="5">
        <v>0.59782999999999997</v>
      </c>
      <c r="D91">
        <f t="shared" si="5"/>
        <v>0.40217000000000003</v>
      </c>
      <c r="E91">
        <f t="shared" si="6"/>
        <v>3.0385059446839315E-5</v>
      </c>
      <c r="F91">
        <f t="shared" si="9"/>
        <v>3.137900743216997E-5</v>
      </c>
      <c r="H91" s="14">
        <f t="shared" si="7"/>
        <v>0.61880078927838778</v>
      </c>
      <c r="I91" s="14">
        <f t="shared" si="8"/>
        <v>0.61880078902880387</v>
      </c>
    </row>
    <row r="92" spans="2:9" x14ac:dyDescent="0.2">
      <c r="B92" s="5">
        <v>107</v>
      </c>
      <c r="C92" s="5">
        <v>0.63163999999999998</v>
      </c>
      <c r="D92">
        <f t="shared" si="5"/>
        <v>0.36836000000000002</v>
      </c>
      <c r="E92">
        <f t="shared" si="6"/>
        <v>1.1192640497837731E-5</v>
      </c>
      <c r="F92">
        <f t="shared" si="9"/>
        <v>1.155877117771413E-5</v>
      </c>
      <c r="H92" s="14">
        <f t="shared" si="7"/>
        <v>0.53865477106295279</v>
      </c>
      <c r="I92" s="14">
        <f t="shared" si="8"/>
        <v>0.53865477044235965</v>
      </c>
    </row>
    <row r="93" spans="2:9" x14ac:dyDescent="0.2">
      <c r="B93" s="5">
        <v>108</v>
      </c>
      <c r="C93" s="5">
        <v>0.66544999999999999</v>
      </c>
      <c r="D93">
        <f t="shared" si="5"/>
        <v>0.33455000000000001</v>
      </c>
      <c r="E93">
        <f t="shared" si="6"/>
        <v>3.7444978785516129E-6</v>
      </c>
      <c r="F93">
        <f t="shared" si="9"/>
        <v>3.8669868975042622E-6</v>
      </c>
      <c r="H93" s="14">
        <f t="shared" si="7"/>
        <v>0.46230527490214124</v>
      </c>
      <c r="I93" s="14">
        <f t="shared" si="8"/>
        <v>0.46230527321739501</v>
      </c>
    </row>
    <row r="94" spans="2:9" x14ac:dyDescent="0.2">
      <c r="B94" s="5">
        <v>109</v>
      </c>
      <c r="C94" s="5">
        <v>0.69886999999999999</v>
      </c>
      <c r="D94">
        <f t="shared" si="5"/>
        <v>0.30113000000000001</v>
      </c>
      <c r="E94">
        <f t="shared" si="6"/>
        <v>1.1275806461682473E-6</v>
      </c>
      <c r="F94">
        <f t="shared" si="9"/>
        <v>1.1644657644454586E-6</v>
      </c>
      <c r="H94" s="14">
        <f t="shared" si="7"/>
        <v>0.38187199193585775</v>
      </c>
      <c r="I94" s="14">
        <f t="shared" si="8"/>
        <v>0.38187198690000002</v>
      </c>
    </row>
    <row r="95" spans="2:9" x14ac:dyDescent="0.2">
      <c r="B95" s="5">
        <v>110</v>
      </c>
      <c r="C95" s="5">
        <v>0.73187000000000002</v>
      </c>
      <c r="D95">
        <f t="shared" si="5"/>
        <v>0.26812999999999998</v>
      </c>
      <c r="E95">
        <f t="shared" si="6"/>
        <v>3.0233819865709213E-7</v>
      </c>
      <c r="F95">
        <f t="shared" si="9"/>
        <v>3.122282054207608E-7</v>
      </c>
      <c r="H95" s="15">
        <f t="shared" si="7"/>
        <v>0.26813001672320169</v>
      </c>
      <c r="I95" s="15">
        <f>D95*(1+I96)</f>
        <v>0.26812999999999998</v>
      </c>
    </row>
    <row r="96" spans="2:9" x14ac:dyDescent="0.2">
      <c r="I96">
        <v>0</v>
      </c>
    </row>
  </sheetData>
  <pageMargins left="0.75" right="0.75" top="1" bottom="1" header="0.5" footer="0.5"/>
  <pageSetup orientation="portrait" horizontalDpi="4294967292" verticalDpi="4294967292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I95"/>
  <sheetViews>
    <sheetView workbookViewId="0">
      <selection activeCell="A10" sqref="A10"/>
    </sheetView>
  </sheetViews>
  <sheetFormatPr baseColWidth="10" defaultRowHeight="16" x14ac:dyDescent="0.2"/>
  <cols>
    <col min="3" max="3" width="13.1640625" bestFit="1" customWidth="1"/>
    <col min="4" max="4" width="11.5" bestFit="1" customWidth="1"/>
    <col min="8" max="8" width="2.6640625" customWidth="1"/>
  </cols>
  <sheetData>
    <row r="1" spans="1:9" x14ac:dyDescent="0.2">
      <c r="A1" s="4" t="s">
        <v>20</v>
      </c>
      <c r="B1" s="5"/>
    </row>
    <row r="2" spans="1:9" x14ac:dyDescent="0.2">
      <c r="A2" s="5"/>
      <c r="B2" s="6"/>
    </row>
    <row r="3" spans="1:9" x14ac:dyDescent="0.2">
      <c r="A3" s="5"/>
      <c r="B3" s="5"/>
      <c r="C3" s="2" t="s">
        <v>22</v>
      </c>
      <c r="F3" s="2" t="s">
        <v>27</v>
      </c>
    </row>
    <row r="4" spans="1:9" x14ac:dyDescent="0.2">
      <c r="A4" s="5" t="s">
        <v>0</v>
      </c>
      <c r="B4" s="5" t="s">
        <v>9</v>
      </c>
      <c r="C4" t="s">
        <v>18</v>
      </c>
      <c r="D4" t="s">
        <v>19</v>
      </c>
    </row>
    <row r="5" spans="1:9" ht="18" x14ac:dyDescent="0.25">
      <c r="A5" s="5">
        <v>20</v>
      </c>
      <c r="B5" s="5">
        <v>1.0300000000000001E-3</v>
      </c>
      <c r="C5" s="27">
        <v>5000000</v>
      </c>
      <c r="D5" s="28">
        <f>C5*B5</f>
        <v>5150.0000000000009</v>
      </c>
      <c r="F5" t="s">
        <v>21</v>
      </c>
      <c r="G5" s="33">
        <f>C65/C35</f>
        <v>0.43732419293615621</v>
      </c>
    </row>
    <row r="6" spans="1:9" x14ac:dyDescent="0.2">
      <c r="A6" s="5">
        <v>21</v>
      </c>
      <c r="B6" s="5">
        <v>1.06E-3</v>
      </c>
      <c r="C6" s="29">
        <f>C5-D5</f>
        <v>4994850</v>
      </c>
      <c r="D6" s="30">
        <f t="shared" ref="D6:D69" si="0">C6*B6</f>
        <v>5294.5410000000002</v>
      </c>
    </row>
    <row r="7" spans="1:9" x14ac:dyDescent="0.2">
      <c r="A7" s="5">
        <v>22</v>
      </c>
      <c r="B7" s="5">
        <v>1.1000000000000001E-3</v>
      </c>
      <c r="C7" s="29">
        <f t="shared" ref="C7:C70" si="1">C6-D6</f>
        <v>4989555.4589999998</v>
      </c>
      <c r="D7" s="30">
        <f t="shared" si="0"/>
        <v>5488.5110049000004</v>
      </c>
    </row>
    <row r="8" spans="1:9" ht="18" x14ac:dyDescent="0.25">
      <c r="A8" s="5">
        <v>23</v>
      </c>
      <c r="B8" s="5">
        <v>1.1299999999999999E-3</v>
      </c>
      <c r="C8" s="29">
        <f t="shared" si="1"/>
        <v>4984066.9479951002</v>
      </c>
      <c r="D8" s="30">
        <f t="shared" si="0"/>
        <v>5631.9956512344625</v>
      </c>
      <c r="F8" t="s">
        <v>23</v>
      </c>
      <c r="G8" s="16">
        <f>1-C50/C25</f>
        <v>0.19102769541013009</v>
      </c>
    </row>
    <row r="9" spans="1:9" x14ac:dyDescent="0.2">
      <c r="A9" s="5">
        <v>24</v>
      </c>
      <c r="B9" s="5">
        <v>1.1800000000000001E-3</v>
      </c>
      <c r="C9" s="29">
        <f t="shared" si="1"/>
        <v>4978434.9523438653</v>
      </c>
      <c r="D9" s="30">
        <f t="shared" si="0"/>
        <v>5874.5532437657612</v>
      </c>
      <c r="G9" s="36"/>
    </row>
    <row r="10" spans="1:9" x14ac:dyDescent="0.2">
      <c r="A10" s="5">
        <v>25</v>
      </c>
      <c r="B10" s="5">
        <v>1.2199999999999999E-3</v>
      </c>
      <c r="C10" s="29">
        <f t="shared" si="1"/>
        <v>4972560.3991000997</v>
      </c>
      <c r="D10" s="30">
        <f t="shared" si="0"/>
        <v>6066.523686902121</v>
      </c>
    </row>
    <row r="11" spans="1:9" x14ac:dyDescent="0.2">
      <c r="A11" s="5">
        <v>26</v>
      </c>
      <c r="B11" s="5">
        <v>1.2700000000000001E-3</v>
      </c>
      <c r="C11" s="29">
        <f t="shared" si="1"/>
        <v>4966493.875413198</v>
      </c>
      <c r="D11" s="30">
        <f t="shared" si="0"/>
        <v>6307.4472217747616</v>
      </c>
      <c r="G11" t="s">
        <v>25</v>
      </c>
      <c r="I11" t="s">
        <v>26</v>
      </c>
    </row>
    <row r="12" spans="1:9" ht="18" x14ac:dyDescent="0.25">
      <c r="A12" s="5">
        <v>27</v>
      </c>
      <c r="B12" s="5">
        <v>1.33E-3</v>
      </c>
      <c r="C12" s="29">
        <f t="shared" si="1"/>
        <v>4960186.4281914234</v>
      </c>
      <c r="D12" s="30">
        <f t="shared" si="0"/>
        <v>6597.047949494593</v>
      </c>
      <c r="F12" t="s">
        <v>24</v>
      </c>
      <c r="G12" s="35">
        <f>(C25-C45)/C15</f>
        <v>0.11840496988018775</v>
      </c>
      <c r="I12" s="16">
        <f>SUM(D25:D44)/C15</f>
        <v>0.1184049698801881</v>
      </c>
    </row>
    <row r="13" spans="1:9" x14ac:dyDescent="0.2">
      <c r="A13" s="5">
        <v>28</v>
      </c>
      <c r="B13" s="5">
        <v>1.39E-3</v>
      </c>
      <c r="C13" s="29">
        <f t="shared" si="1"/>
        <v>4953589.3802419286</v>
      </c>
      <c r="D13" s="30">
        <f t="shared" si="0"/>
        <v>6885.4892385362809</v>
      </c>
    </row>
    <row r="14" spans="1:9" x14ac:dyDescent="0.2">
      <c r="A14" s="5">
        <v>29</v>
      </c>
      <c r="B14" s="5">
        <v>1.4599999999999999E-3</v>
      </c>
      <c r="C14" s="29">
        <f t="shared" si="1"/>
        <v>4946703.8910033926</v>
      </c>
      <c r="D14" s="30">
        <f t="shared" si="0"/>
        <v>7222.1876808649531</v>
      </c>
    </row>
    <row r="15" spans="1:9" x14ac:dyDescent="0.2">
      <c r="A15" s="5">
        <v>30</v>
      </c>
      <c r="B15" s="5">
        <v>1.5299999999999999E-3</v>
      </c>
      <c r="C15" s="29">
        <f t="shared" si="1"/>
        <v>4939481.7033225279</v>
      </c>
      <c r="D15" s="30">
        <f t="shared" si="0"/>
        <v>7557.4070060834674</v>
      </c>
    </row>
    <row r="16" spans="1:9" x14ac:dyDescent="0.2">
      <c r="A16" s="5">
        <v>31</v>
      </c>
      <c r="B16" s="5">
        <v>1.6100000000000001E-3</v>
      </c>
      <c r="C16" s="29">
        <f t="shared" si="1"/>
        <v>4931924.2963164449</v>
      </c>
      <c r="D16" s="30">
        <f t="shared" si="0"/>
        <v>7940.3981170694769</v>
      </c>
    </row>
    <row r="17" spans="1:4" x14ac:dyDescent="0.2">
      <c r="A17" s="5">
        <v>32</v>
      </c>
      <c r="B17" s="5">
        <v>1.6999999999999999E-3</v>
      </c>
      <c r="C17" s="29">
        <f t="shared" si="1"/>
        <v>4923983.8981993757</v>
      </c>
      <c r="D17" s="30">
        <f t="shared" si="0"/>
        <v>8370.7726269389386</v>
      </c>
    </row>
    <row r="18" spans="1:4" x14ac:dyDescent="0.2">
      <c r="A18" s="5">
        <v>33</v>
      </c>
      <c r="B18" s="5">
        <v>1.7899999999999999E-3</v>
      </c>
      <c r="C18" s="29">
        <f t="shared" si="1"/>
        <v>4915613.1255724365</v>
      </c>
      <c r="D18" s="30">
        <f t="shared" si="0"/>
        <v>8798.9474947746603</v>
      </c>
    </row>
    <row r="19" spans="1:4" x14ac:dyDescent="0.2">
      <c r="A19" s="5">
        <v>34</v>
      </c>
      <c r="B19" s="5">
        <v>1.9E-3</v>
      </c>
      <c r="C19" s="29">
        <f t="shared" si="1"/>
        <v>4906814.1780776614</v>
      </c>
      <c r="D19" s="30">
        <f t="shared" si="0"/>
        <v>9322.9469383475571</v>
      </c>
    </row>
    <row r="20" spans="1:4" x14ac:dyDescent="0.2">
      <c r="A20" s="5">
        <v>35</v>
      </c>
      <c r="B20" s="5">
        <v>2.0100000000000001E-3</v>
      </c>
      <c r="C20" s="29">
        <f t="shared" si="1"/>
        <v>4897491.2311393134</v>
      </c>
      <c r="D20" s="30">
        <f t="shared" si="0"/>
        <v>9843.9573745900198</v>
      </c>
    </row>
    <row r="21" spans="1:4" x14ac:dyDescent="0.2">
      <c r="A21" s="5">
        <v>36</v>
      </c>
      <c r="B21" s="5">
        <v>2.14E-3</v>
      </c>
      <c r="C21" s="29">
        <f t="shared" si="1"/>
        <v>4887647.273764723</v>
      </c>
      <c r="D21" s="30">
        <f t="shared" si="0"/>
        <v>10459.565165856508</v>
      </c>
    </row>
    <row r="22" spans="1:4" x14ac:dyDescent="0.2">
      <c r="A22" s="5">
        <v>37</v>
      </c>
      <c r="B22" s="5">
        <v>2.2799999999999999E-3</v>
      </c>
      <c r="C22" s="29">
        <f t="shared" si="1"/>
        <v>4877187.7085988661</v>
      </c>
      <c r="D22" s="30">
        <f t="shared" si="0"/>
        <v>11119.987975605414</v>
      </c>
    </row>
    <row r="23" spans="1:4" x14ac:dyDescent="0.2">
      <c r="A23" s="5">
        <v>38</v>
      </c>
      <c r="B23" s="5">
        <v>2.4299999999999999E-3</v>
      </c>
      <c r="C23" s="29">
        <f t="shared" si="1"/>
        <v>4866067.7206232604</v>
      </c>
      <c r="D23" s="30">
        <f t="shared" si="0"/>
        <v>11824.544561114522</v>
      </c>
    </row>
    <row r="24" spans="1:4" x14ac:dyDescent="0.2">
      <c r="A24" s="5">
        <v>39</v>
      </c>
      <c r="B24" s="5">
        <v>2.5999999999999999E-3</v>
      </c>
      <c r="C24" s="29">
        <f t="shared" si="1"/>
        <v>4854243.1760621462</v>
      </c>
      <c r="D24" s="30">
        <f t="shared" si="0"/>
        <v>12621.032257761579</v>
      </c>
    </row>
    <row r="25" spans="1:4" x14ac:dyDescent="0.2">
      <c r="A25" s="5">
        <v>40</v>
      </c>
      <c r="B25" s="5">
        <v>2.7799999999999999E-3</v>
      </c>
      <c r="C25" s="29">
        <f t="shared" si="1"/>
        <v>4841622.1438043844</v>
      </c>
      <c r="D25" s="30">
        <f t="shared" si="0"/>
        <v>13459.709559776189</v>
      </c>
    </row>
    <row r="26" spans="1:4" x14ac:dyDescent="0.2">
      <c r="A26" s="5">
        <v>41</v>
      </c>
      <c r="B26" s="5">
        <v>2.98E-3</v>
      </c>
      <c r="C26" s="29">
        <f t="shared" si="1"/>
        <v>4828162.4342446085</v>
      </c>
      <c r="D26" s="30">
        <f t="shared" si="0"/>
        <v>14387.924054048934</v>
      </c>
    </row>
    <row r="27" spans="1:4" x14ac:dyDescent="0.2">
      <c r="A27" s="5">
        <v>42</v>
      </c>
      <c r="B27" s="5">
        <v>3.2000000000000002E-3</v>
      </c>
      <c r="C27" s="29">
        <f t="shared" si="1"/>
        <v>4813774.5101905596</v>
      </c>
      <c r="D27" s="30">
        <f t="shared" si="0"/>
        <v>15404.078432609791</v>
      </c>
    </row>
    <row r="28" spans="1:4" x14ac:dyDescent="0.2">
      <c r="A28" s="5">
        <v>43</v>
      </c>
      <c r="B28" s="5">
        <v>3.4399999999999999E-3</v>
      </c>
      <c r="C28" s="29">
        <f t="shared" si="1"/>
        <v>4798370.4317579502</v>
      </c>
      <c r="D28" s="30">
        <f t="shared" si="0"/>
        <v>16506.394285247348</v>
      </c>
    </row>
    <row r="29" spans="1:4" x14ac:dyDescent="0.2">
      <c r="A29" s="5">
        <v>44</v>
      </c>
      <c r="B29" s="5">
        <v>3.7100000000000002E-3</v>
      </c>
      <c r="C29" s="29">
        <f t="shared" si="1"/>
        <v>4781864.0374727026</v>
      </c>
      <c r="D29" s="30">
        <f t="shared" si="0"/>
        <v>17740.715579023727</v>
      </c>
    </row>
    <row r="30" spans="1:4" x14ac:dyDescent="0.2">
      <c r="A30" s="5">
        <v>45</v>
      </c>
      <c r="B30" s="5">
        <v>4.0000000000000001E-3</v>
      </c>
      <c r="C30" s="29">
        <f t="shared" si="1"/>
        <v>4764123.321893679</v>
      </c>
      <c r="D30" s="30">
        <f t="shared" si="0"/>
        <v>19056.493287574718</v>
      </c>
    </row>
    <row r="31" spans="1:4" x14ac:dyDescent="0.2">
      <c r="A31" s="5">
        <v>46</v>
      </c>
      <c r="B31" s="5">
        <v>4.3099999999999996E-3</v>
      </c>
      <c r="C31" s="29">
        <f t="shared" si="1"/>
        <v>4745066.8286061045</v>
      </c>
      <c r="D31" s="30">
        <f t="shared" si="0"/>
        <v>20451.238031292309</v>
      </c>
    </row>
    <row r="32" spans="1:4" x14ac:dyDescent="0.2">
      <c r="A32" s="5">
        <v>47</v>
      </c>
      <c r="B32" s="5">
        <v>4.6600000000000001E-3</v>
      </c>
      <c r="C32" s="29">
        <f t="shared" si="1"/>
        <v>4724615.5905748121</v>
      </c>
      <c r="D32" s="30">
        <f t="shared" si="0"/>
        <v>22016.708652078625</v>
      </c>
    </row>
    <row r="33" spans="1:4" x14ac:dyDescent="0.2">
      <c r="A33" s="5">
        <v>48</v>
      </c>
      <c r="B33" s="5">
        <v>5.0400000000000002E-3</v>
      </c>
      <c r="C33" s="29">
        <f t="shared" si="1"/>
        <v>4702598.881922734</v>
      </c>
      <c r="D33" s="30">
        <f t="shared" si="0"/>
        <v>23701.098364890579</v>
      </c>
    </row>
    <row r="34" spans="1:4" x14ac:dyDescent="0.2">
      <c r="A34" s="5">
        <v>49</v>
      </c>
      <c r="B34" s="5">
        <v>5.4599999999999996E-3</v>
      </c>
      <c r="C34" s="29">
        <f t="shared" si="1"/>
        <v>4678897.7835578434</v>
      </c>
      <c r="D34" s="30">
        <f t="shared" si="0"/>
        <v>25546.781898225821</v>
      </c>
    </row>
    <row r="35" spans="1:4" x14ac:dyDescent="0.2">
      <c r="A35" s="5">
        <v>50</v>
      </c>
      <c r="B35" s="5">
        <v>5.9199999999999999E-3</v>
      </c>
      <c r="C35" s="29">
        <f t="shared" si="1"/>
        <v>4653351.0016596178</v>
      </c>
      <c r="D35" s="30">
        <f t="shared" si="0"/>
        <v>27547.837929824938</v>
      </c>
    </row>
    <row r="36" spans="1:4" x14ac:dyDescent="0.2">
      <c r="A36" s="5">
        <v>51</v>
      </c>
      <c r="B36" s="5">
        <v>6.4200000000000004E-3</v>
      </c>
      <c r="C36" s="29">
        <f t="shared" si="1"/>
        <v>4625803.1637297925</v>
      </c>
      <c r="D36" s="30">
        <f t="shared" si="0"/>
        <v>29697.656311145271</v>
      </c>
    </row>
    <row r="37" spans="1:4" x14ac:dyDescent="0.2">
      <c r="A37" s="5">
        <v>52</v>
      </c>
      <c r="B37" s="5">
        <v>6.9699999999999996E-3</v>
      </c>
      <c r="C37" s="29">
        <f t="shared" si="1"/>
        <v>4596105.5074186474</v>
      </c>
      <c r="D37" s="30">
        <f t="shared" si="0"/>
        <v>32034.855386707972</v>
      </c>
    </row>
    <row r="38" spans="1:4" x14ac:dyDescent="0.2">
      <c r="A38" s="5">
        <v>53</v>
      </c>
      <c r="B38" s="5">
        <v>7.5799999999999999E-3</v>
      </c>
      <c r="C38" s="29">
        <f t="shared" si="1"/>
        <v>4564070.6520319395</v>
      </c>
      <c r="D38" s="30">
        <f t="shared" si="0"/>
        <v>34595.655542402099</v>
      </c>
    </row>
    <row r="39" spans="1:4" x14ac:dyDescent="0.2">
      <c r="A39" s="5">
        <v>54</v>
      </c>
      <c r="B39" s="5">
        <v>8.2400000000000008E-3</v>
      </c>
      <c r="C39" s="29">
        <f t="shared" si="1"/>
        <v>4529474.9964895369</v>
      </c>
      <c r="D39" s="30">
        <f t="shared" si="0"/>
        <v>37322.873971073786</v>
      </c>
    </row>
    <row r="40" spans="1:4" x14ac:dyDescent="0.2">
      <c r="A40" s="5">
        <v>55</v>
      </c>
      <c r="B40" s="5">
        <v>8.9599999999999992E-3</v>
      </c>
      <c r="C40" s="29">
        <f t="shared" si="1"/>
        <v>4492152.1225184631</v>
      </c>
      <c r="D40" s="30">
        <f t="shared" si="0"/>
        <v>40249.683017765426</v>
      </c>
    </row>
    <row r="41" spans="1:4" x14ac:dyDescent="0.2">
      <c r="A41" s="5">
        <v>56</v>
      </c>
      <c r="B41" s="5">
        <v>9.75E-3</v>
      </c>
      <c r="C41" s="29">
        <f t="shared" si="1"/>
        <v>4451902.4395006979</v>
      </c>
      <c r="D41" s="30">
        <f t="shared" si="0"/>
        <v>43406.048785131803</v>
      </c>
    </row>
    <row r="42" spans="1:4" x14ac:dyDescent="0.2">
      <c r="A42" s="5">
        <v>57</v>
      </c>
      <c r="B42" s="5">
        <v>1.0619999999999999E-2</v>
      </c>
      <c r="C42" s="29">
        <f t="shared" si="1"/>
        <v>4408496.3907155665</v>
      </c>
      <c r="D42" s="30">
        <f t="shared" si="0"/>
        <v>46818.231669399313</v>
      </c>
    </row>
    <row r="43" spans="1:4" x14ac:dyDescent="0.2">
      <c r="A43" s="5">
        <v>58</v>
      </c>
      <c r="B43" s="5">
        <v>1.158E-2</v>
      </c>
      <c r="C43" s="29">
        <f t="shared" si="1"/>
        <v>4361678.1590461675</v>
      </c>
      <c r="D43" s="30">
        <f t="shared" si="0"/>
        <v>50508.233081754617</v>
      </c>
    </row>
    <row r="44" spans="1:4" x14ac:dyDescent="0.2">
      <c r="A44" s="5">
        <v>59</v>
      </c>
      <c r="B44" s="5">
        <v>1.2619999999999999E-2</v>
      </c>
      <c r="C44" s="29">
        <f t="shared" si="1"/>
        <v>4311169.9259644132</v>
      </c>
      <c r="D44" s="30">
        <f t="shared" si="0"/>
        <v>54406.964465670892</v>
      </c>
    </row>
    <row r="45" spans="1:4" x14ac:dyDescent="0.2">
      <c r="A45" s="5">
        <v>60</v>
      </c>
      <c r="B45" s="5">
        <v>1.376E-2</v>
      </c>
      <c r="C45" s="29">
        <f t="shared" si="1"/>
        <v>4256762.961498742</v>
      </c>
      <c r="D45" s="30">
        <f t="shared" si="0"/>
        <v>58573.058350222687</v>
      </c>
    </row>
    <row r="46" spans="1:4" x14ac:dyDescent="0.2">
      <c r="A46" s="5">
        <v>61</v>
      </c>
      <c r="B46" s="5">
        <v>1.5010000000000001E-2</v>
      </c>
      <c r="C46" s="29">
        <f t="shared" si="1"/>
        <v>4198189.9031485189</v>
      </c>
      <c r="D46" s="30">
        <f t="shared" si="0"/>
        <v>63014.830446259271</v>
      </c>
    </row>
    <row r="47" spans="1:4" x14ac:dyDescent="0.2">
      <c r="A47" s="5">
        <v>62</v>
      </c>
      <c r="B47" s="5">
        <v>1.6379999999999999E-2</v>
      </c>
      <c r="C47" s="29">
        <f t="shared" si="1"/>
        <v>4135175.0727022598</v>
      </c>
      <c r="D47" s="30">
        <f t="shared" si="0"/>
        <v>67734.167690863003</v>
      </c>
    </row>
    <row r="48" spans="1:4" x14ac:dyDescent="0.2">
      <c r="A48" s="5">
        <v>63</v>
      </c>
      <c r="B48" s="5">
        <v>1.788E-2</v>
      </c>
      <c r="C48" s="29">
        <f t="shared" si="1"/>
        <v>4067440.9050113969</v>
      </c>
      <c r="D48" s="30">
        <f t="shared" si="0"/>
        <v>72725.843381603772</v>
      </c>
    </row>
    <row r="49" spans="1:4" x14ac:dyDescent="0.2">
      <c r="A49" s="5">
        <v>64</v>
      </c>
      <c r="B49" s="5">
        <v>1.9519999999999999E-2</v>
      </c>
      <c r="C49" s="29">
        <f t="shared" si="1"/>
        <v>3994715.0616297931</v>
      </c>
      <c r="D49" s="30">
        <f t="shared" si="0"/>
        <v>77976.83800301356</v>
      </c>
    </row>
    <row r="50" spans="1:4" x14ac:dyDescent="0.2">
      <c r="A50" s="5">
        <v>65</v>
      </c>
      <c r="B50" s="5">
        <v>2.0920000000000001E-2</v>
      </c>
      <c r="C50" s="29">
        <f t="shared" si="1"/>
        <v>3916738.2236267794</v>
      </c>
      <c r="D50" s="30">
        <f t="shared" si="0"/>
        <v>81938.163638272235</v>
      </c>
    </row>
    <row r="51" spans="1:4" x14ac:dyDescent="0.2">
      <c r="A51" s="5">
        <v>66</v>
      </c>
      <c r="B51" s="5">
        <v>2.368E-2</v>
      </c>
      <c r="C51" s="29">
        <f t="shared" si="1"/>
        <v>3834800.0599885071</v>
      </c>
      <c r="D51" s="30">
        <f t="shared" si="0"/>
        <v>90808.065420527841</v>
      </c>
    </row>
    <row r="52" spans="1:4" x14ac:dyDescent="0.2">
      <c r="A52" s="5">
        <v>67</v>
      </c>
      <c r="B52" s="5">
        <v>2.5440000000000001E-2</v>
      </c>
      <c r="C52" s="29">
        <f t="shared" si="1"/>
        <v>3743991.9945679791</v>
      </c>
      <c r="D52" s="30">
        <f t="shared" si="0"/>
        <v>95247.156341809387</v>
      </c>
    </row>
    <row r="53" spans="1:4" x14ac:dyDescent="0.2">
      <c r="A53" s="5">
        <v>68</v>
      </c>
      <c r="B53" s="5">
        <v>2.7789999999999999E-2</v>
      </c>
      <c r="C53" s="29">
        <f t="shared" si="1"/>
        <v>3648744.8382261698</v>
      </c>
      <c r="D53" s="30">
        <f t="shared" si="0"/>
        <v>101398.61905430525</v>
      </c>
    </row>
    <row r="54" spans="1:4" x14ac:dyDescent="0.2">
      <c r="A54" s="5">
        <v>69</v>
      </c>
      <c r="B54" s="5">
        <v>3.0370000000000001E-2</v>
      </c>
      <c r="C54" s="29">
        <f t="shared" si="1"/>
        <v>3547346.2191718644</v>
      </c>
      <c r="D54" s="30">
        <f t="shared" si="0"/>
        <v>107732.90467624953</v>
      </c>
    </row>
    <row r="55" spans="1:4" x14ac:dyDescent="0.2">
      <c r="A55" s="5">
        <v>70</v>
      </c>
      <c r="B55" s="5">
        <v>3.3180000000000001E-2</v>
      </c>
      <c r="C55" s="29">
        <f t="shared" si="1"/>
        <v>3439613.3144956147</v>
      </c>
      <c r="D55" s="30">
        <f t="shared" si="0"/>
        <v>114126.36977496451</v>
      </c>
    </row>
    <row r="56" spans="1:4" x14ac:dyDescent="0.2">
      <c r="A56" s="5">
        <v>71</v>
      </c>
      <c r="B56" s="5">
        <v>3.6260000000000001E-2</v>
      </c>
      <c r="C56" s="29">
        <f t="shared" si="1"/>
        <v>3325486.9447206501</v>
      </c>
      <c r="D56" s="30">
        <f t="shared" si="0"/>
        <v>120582.15661557077</v>
      </c>
    </row>
    <row r="57" spans="1:4" x14ac:dyDescent="0.2">
      <c r="A57" s="5">
        <v>72</v>
      </c>
      <c r="B57" s="5">
        <v>3.9620000000000002E-2</v>
      </c>
      <c r="C57" s="29">
        <f t="shared" si="1"/>
        <v>3204904.7881050794</v>
      </c>
      <c r="D57" s="30">
        <f t="shared" si="0"/>
        <v>126978.32770472326</v>
      </c>
    </row>
    <row r="58" spans="1:4" x14ac:dyDescent="0.2">
      <c r="A58" s="5">
        <v>73</v>
      </c>
      <c r="B58" s="5">
        <v>4.3299999999999998E-2</v>
      </c>
      <c r="C58" s="29">
        <f t="shared" si="1"/>
        <v>3077926.460400356</v>
      </c>
      <c r="D58" s="30">
        <f t="shared" si="0"/>
        <v>133274.2157353354</v>
      </c>
    </row>
    <row r="59" spans="1:4" x14ac:dyDescent="0.2">
      <c r="A59" s="5">
        <v>74</v>
      </c>
      <c r="B59" s="5">
        <v>4.7309999999999998E-2</v>
      </c>
      <c r="C59" s="29">
        <f t="shared" si="1"/>
        <v>2944652.2446650206</v>
      </c>
      <c r="D59" s="30">
        <f t="shared" si="0"/>
        <v>139311.49769510212</v>
      </c>
    </row>
    <row r="60" spans="1:4" x14ac:dyDescent="0.2">
      <c r="A60" s="5">
        <v>75</v>
      </c>
      <c r="B60" s="5">
        <v>5.169E-2</v>
      </c>
      <c r="C60" s="29">
        <f t="shared" si="1"/>
        <v>2805340.7469699187</v>
      </c>
      <c r="D60" s="30">
        <f t="shared" si="0"/>
        <v>145008.06321087509</v>
      </c>
    </row>
    <row r="61" spans="1:4" x14ac:dyDescent="0.2">
      <c r="A61" s="5">
        <v>76</v>
      </c>
      <c r="B61" s="5">
        <v>5.6469999999999999E-2</v>
      </c>
      <c r="C61" s="29">
        <f t="shared" si="1"/>
        <v>2660332.6837590435</v>
      </c>
      <c r="D61" s="30">
        <f t="shared" si="0"/>
        <v>150228.98665187319</v>
      </c>
    </row>
    <row r="62" spans="1:4" x14ac:dyDescent="0.2">
      <c r="A62" s="5">
        <v>77</v>
      </c>
      <c r="B62" s="5">
        <v>6.1679999999999999E-2</v>
      </c>
      <c r="C62" s="29">
        <f t="shared" si="1"/>
        <v>2510103.6971071702</v>
      </c>
      <c r="D62" s="30">
        <f t="shared" si="0"/>
        <v>154823.19603757025</v>
      </c>
    </row>
    <row r="63" spans="1:4" x14ac:dyDescent="0.2">
      <c r="A63" s="5">
        <v>78</v>
      </c>
      <c r="B63" s="5">
        <v>6.7369999999999999E-2</v>
      </c>
      <c r="C63" s="29">
        <f t="shared" si="1"/>
        <v>2355280.5010695998</v>
      </c>
      <c r="D63" s="30">
        <f t="shared" si="0"/>
        <v>158675.24735705892</v>
      </c>
    </row>
    <row r="64" spans="1:4" x14ac:dyDescent="0.2">
      <c r="A64" s="5">
        <v>79</v>
      </c>
      <c r="B64" s="5">
        <v>7.356E-2</v>
      </c>
      <c r="C64" s="29">
        <f t="shared" si="1"/>
        <v>2196605.253712541</v>
      </c>
      <c r="D64" s="30">
        <f t="shared" si="0"/>
        <v>161582.28246309451</v>
      </c>
    </row>
    <row r="65" spans="1:4" x14ac:dyDescent="0.2">
      <c r="A65" s="5">
        <v>80</v>
      </c>
      <c r="B65" s="5">
        <v>8.0299999999999996E-2</v>
      </c>
      <c r="C65" s="29">
        <f t="shared" si="1"/>
        <v>2035022.9712494465</v>
      </c>
      <c r="D65" s="30">
        <f t="shared" si="0"/>
        <v>163412.34459133053</v>
      </c>
    </row>
    <row r="66" spans="1:4" x14ac:dyDescent="0.2">
      <c r="A66" s="5">
        <v>81</v>
      </c>
      <c r="B66" s="5">
        <v>8.7639999999999996E-2</v>
      </c>
      <c r="C66" s="29">
        <f t="shared" si="1"/>
        <v>1871610.626658116</v>
      </c>
      <c r="D66" s="30">
        <f t="shared" si="0"/>
        <v>164027.95532031727</v>
      </c>
    </row>
    <row r="67" spans="1:4" x14ac:dyDescent="0.2">
      <c r="A67" s="5">
        <v>82</v>
      </c>
      <c r="B67" s="5">
        <v>9.5610000000000001E-2</v>
      </c>
      <c r="C67" s="29">
        <f t="shared" si="1"/>
        <v>1707582.6713377987</v>
      </c>
      <c r="D67" s="30">
        <f t="shared" si="0"/>
        <v>163261.97920660695</v>
      </c>
    </row>
    <row r="68" spans="1:4" x14ac:dyDescent="0.2">
      <c r="A68" s="5">
        <v>83</v>
      </c>
      <c r="B68" s="5">
        <v>0.10428</v>
      </c>
      <c r="C68" s="29">
        <f t="shared" si="1"/>
        <v>1544320.6921311917</v>
      </c>
      <c r="D68" s="30">
        <f t="shared" si="0"/>
        <v>161041.76177544068</v>
      </c>
    </row>
    <row r="69" spans="1:4" x14ac:dyDescent="0.2">
      <c r="A69" s="5">
        <v>84</v>
      </c>
      <c r="B69" s="5">
        <v>0.11369</v>
      </c>
      <c r="C69" s="29">
        <f t="shared" si="1"/>
        <v>1383278.930355751</v>
      </c>
      <c r="D69" s="30">
        <f t="shared" si="0"/>
        <v>157264.98159214531</v>
      </c>
    </row>
    <row r="70" spans="1:4" x14ac:dyDescent="0.2">
      <c r="A70" s="5">
        <v>85</v>
      </c>
      <c r="B70" s="5">
        <v>0.12389</v>
      </c>
      <c r="C70" s="29">
        <f t="shared" si="1"/>
        <v>1226013.9487636057</v>
      </c>
      <c r="D70" s="30">
        <f t="shared" ref="D70:D95" si="2">C70*B70</f>
        <v>151890.86811232311</v>
      </c>
    </row>
    <row r="71" spans="1:4" x14ac:dyDescent="0.2">
      <c r="A71" s="5">
        <v>86</v>
      </c>
      <c r="B71" s="5">
        <v>0.13494</v>
      </c>
      <c r="C71" s="29">
        <f t="shared" ref="C71:C95" si="3">C70-D70</f>
        <v>1074123.0806512826</v>
      </c>
      <c r="D71" s="30">
        <f t="shared" si="2"/>
        <v>144942.16850308407</v>
      </c>
    </row>
    <row r="72" spans="1:4" x14ac:dyDescent="0.2">
      <c r="A72" s="5">
        <v>87</v>
      </c>
      <c r="B72" s="5">
        <v>0.14688999999999999</v>
      </c>
      <c r="C72" s="29">
        <f t="shared" si="3"/>
        <v>929180.91214819846</v>
      </c>
      <c r="D72" s="30">
        <f t="shared" si="2"/>
        <v>136487.38418544887</v>
      </c>
    </row>
    <row r="73" spans="1:4" x14ac:dyDescent="0.2">
      <c r="A73" s="5">
        <v>88</v>
      </c>
      <c r="B73" s="5">
        <v>0.15981000000000001</v>
      </c>
      <c r="C73" s="29">
        <f t="shared" si="3"/>
        <v>792693.52796274959</v>
      </c>
      <c r="D73" s="30">
        <f t="shared" si="2"/>
        <v>126680.35270372703</v>
      </c>
    </row>
    <row r="74" spans="1:4" x14ac:dyDescent="0.2">
      <c r="A74" s="5">
        <v>89</v>
      </c>
      <c r="B74" s="5">
        <v>0.17374999999999999</v>
      </c>
      <c r="C74" s="29">
        <f t="shared" si="3"/>
        <v>666013.17525902251</v>
      </c>
      <c r="D74" s="30">
        <f t="shared" si="2"/>
        <v>115719.78920125515</v>
      </c>
    </row>
    <row r="75" spans="1:4" x14ac:dyDescent="0.2">
      <c r="A75" s="5">
        <v>90</v>
      </c>
      <c r="B75" s="5">
        <v>0.18876999999999999</v>
      </c>
      <c r="C75" s="29">
        <f t="shared" si="3"/>
        <v>550293.38605776732</v>
      </c>
      <c r="D75" s="30">
        <f t="shared" si="2"/>
        <v>103878.88248612473</v>
      </c>
    </row>
    <row r="76" spans="1:4" x14ac:dyDescent="0.2">
      <c r="A76" s="5">
        <v>91</v>
      </c>
      <c r="B76" s="5">
        <v>0.20493</v>
      </c>
      <c r="C76" s="29">
        <f t="shared" si="3"/>
        <v>446414.50357164256</v>
      </c>
      <c r="D76" s="30">
        <f t="shared" si="2"/>
        <v>91483.724216936709</v>
      </c>
    </row>
    <row r="77" spans="1:4" x14ac:dyDescent="0.2">
      <c r="A77" s="5">
        <v>92</v>
      </c>
      <c r="B77" s="5">
        <v>0.22227</v>
      </c>
      <c r="C77" s="29">
        <f t="shared" si="3"/>
        <v>354930.77935470582</v>
      </c>
      <c r="D77" s="30">
        <f t="shared" si="2"/>
        <v>78890.464327170455</v>
      </c>
    </row>
    <row r="78" spans="1:4" x14ac:dyDescent="0.2">
      <c r="A78" s="5">
        <v>93</v>
      </c>
      <c r="B78" s="5">
        <v>0.24085999999999999</v>
      </c>
      <c r="C78" s="29">
        <f t="shared" si="3"/>
        <v>276040.31502753537</v>
      </c>
      <c r="D78" s="30">
        <f t="shared" si="2"/>
        <v>66487.07027753217</v>
      </c>
    </row>
    <row r="79" spans="1:4" x14ac:dyDescent="0.2">
      <c r="A79" s="5">
        <v>94</v>
      </c>
      <c r="B79" s="5">
        <v>0.26073000000000002</v>
      </c>
      <c r="C79" s="29">
        <f t="shared" si="3"/>
        <v>209553.24475000321</v>
      </c>
      <c r="D79" s="30">
        <f t="shared" si="2"/>
        <v>54636.817503668339</v>
      </c>
    </row>
    <row r="80" spans="1:4" x14ac:dyDescent="0.2">
      <c r="A80" s="5">
        <v>95</v>
      </c>
      <c r="B80" s="5">
        <v>0.28190999999999999</v>
      </c>
      <c r="C80" s="29">
        <f t="shared" si="3"/>
        <v>154916.42724633488</v>
      </c>
      <c r="D80" s="30">
        <f t="shared" si="2"/>
        <v>43672.490005014261</v>
      </c>
    </row>
    <row r="81" spans="1:4" x14ac:dyDescent="0.2">
      <c r="A81" s="5">
        <v>96</v>
      </c>
      <c r="B81" s="5">
        <v>0.30445</v>
      </c>
      <c r="C81" s="29">
        <f t="shared" si="3"/>
        <v>111243.93724132061</v>
      </c>
      <c r="D81" s="30">
        <f t="shared" si="2"/>
        <v>33868.216693120063</v>
      </c>
    </row>
    <row r="82" spans="1:4" x14ac:dyDescent="0.2">
      <c r="A82" s="5">
        <v>97</v>
      </c>
      <c r="B82" s="5">
        <v>0.32834000000000002</v>
      </c>
      <c r="C82" s="29">
        <f t="shared" si="3"/>
        <v>77375.720548200552</v>
      </c>
      <c r="D82" s="30">
        <f t="shared" si="2"/>
        <v>25405.544084796169</v>
      </c>
    </row>
    <row r="83" spans="1:4" x14ac:dyDescent="0.2">
      <c r="A83" s="5">
        <v>98</v>
      </c>
      <c r="B83" s="5">
        <v>0.35360000000000003</v>
      </c>
      <c r="C83" s="29">
        <f t="shared" si="3"/>
        <v>51970.176463404379</v>
      </c>
      <c r="D83" s="30">
        <f t="shared" si="2"/>
        <v>18376.654397459792</v>
      </c>
    </row>
    <row r="84" spans="1:4" x14ac:dyDescent="0.2">
      <c r="A84" s="5">
        <v>99</v>
      </c>
      <c r="B84" s="5">
        <v>0.38019999999999998</v>
      </c>
      <c r="C84" s="29">
        <f t="shared" si="3"/>
        <v>33593.522065944591</v>
      </c>
      <c r="D84" s="30">
        <f t="shared" si="2"/>
        <v>12772.257089472134</v>
      </c>
    </row>
    <row r="85" spans="1:4" x14ac:dyDescent="0.2">
      <c r="A85" s="5">
        <v>100</v>
      </c>
      <c r="B85" s="5">
        <v>0.40811999999999998</v>
      </c>
      <c r="C85" s="29">
        <f t="shared" si="3"/>
        <v>20821.264976472456</v>
      </c>
      <c r="D85" s="30">
        <f t="shared" si="2"/>
        <v>8497.5746621979379</v>
      </c>
    </row>
    <row r="86" spans="1:4" x14ac:dyDescent="0.2">
      <c r="A86" s="5">
        <v>101</v>
      </c>
      <c r="B86" s="5">
        <v>0.43728</v>
      </c>
      <c r="C86" s="29">
        <f t="shared" si="3"/>
        <v>12323.690314274518</v>
      </c>
      <c r="D86" s="30">
        <f t="shared" si="2"/>
        <v>5388.9033006259615</v>
      </c>
    </row>
    <row r="87" spans="1:4" x14ac:dyDescent="0.2">
      <c r="A87" s="5">
        <v>102</v>
      </c>
      <c r="B87" s="5">
        <v>0.46761000000000003</v>
      </c>
      <c r="C87" s="29">
        <f t="shared" si="3"/>
        <v>6934.7870136485562</v>
      </c>
      <c r="D87" s="30">
        <f t="shared" si="2"/>
        <v>3242.7757554522013</v>
      </c>
    </row>
    <row r="88" spans="1:4" x14ac:dyDescent="0.2">
      <c r="A88" s="5">
        <v>103</v>
      </c>
      <c r="B88" s="5">
        <v>0.49898999999999999</v>
      </c>
      <c r="C88" s="29">
        <f t="shared" si="3"/>
        <v>3692.0112581963549</v>
      </c>
      <c r="D88" s="30">
        <f t="shared" si="2"/>
        <v>1842.2766977273991</v>
      </c>
    </row>
    <row r="89" spans="1:4" x14ac:dyDescent="0.2">
      <c r="A89" s="5">
        <v>104</v>
      </c>
      <c r="B89" s="5">
        <v>0.53127999999999997</v>
      </c>
      <c r="C89" s="29">
        <f t="shared" si="3"/>
        <v>1849.7345604689558</v>
      </c>
      <c r="D89" s="30">
        <f t="shared" si="2"/>
        <v>982.72697728594676</v>
      </c>
    </row>
    <row r="90" spans="1:4" x14ac:dyDescent="0.2">
      <c r="A90" s="5">
        <v>105</v>
      </c>
      <c r="B90" s="5">
        <v>0.56428999999999996</v>
      </c>
      <c r="C90" s="29">
        <f t="shared" si="3"/>
        <v>867.00758318300905</v>
      </c>
      <c r="D90" s="30">
        <f t="shared" si="2"/>
        <v>489.24370911434016</v>
      </c>
    </row>
    <row r="91" spans="1:4" x14ac:dyDescent="0.2">
      <c r="A91" s="5">
        <v>106</v>
      </c>
      <c r="B91" s="5">
        <v>0.59782999999999997</v>
      </c>
      <c r="C91" s="29">
        <f t="shared" si="3"/>
        <v>377.76387406866888</v>
      </c>
      <c r="D91" s="30">
        <f t="shared" si="2"/>
        <v>225.83857683447232</v>
      </c>
    </row>
    <row r="92" spans="1:4" x14ac:dyDescent="0.2">
      <c r="A92" s="5">
        <v>107</v>
      </c>
      <c r="B92" s="5">
        <v>0.63163999999999998</v>
      </c>
      <c r="C92" s="29">
        <f t="shared" si="3"/>
        <v>151.92529723419656</v>
      </c>
      <c r="D92" s="30">
        <f t="shared" si="2"/>
        <v>95.962094745007917</v>
      </c>
    </row>
    <row r="93" spans="1:4" x14ac:dyDescent="0.2">
      <c r="A93" s="5">
        <v>108</v>
      </c>
      <c r="B93" s="5">
        <v>0.66544999999999999</v>
      </c>
      <c r="C93" s="29">
        <f t="shared" si="3"/>
        <v>55.963202489188646</v>
      </c>
      <c r="D93" s="30">
        <f t="shared" si="2"/>
        <v>37.240713096430582</v>
      </c>
    </row>
    <row r="94" spans="1:4" x14ac:dyDescent="0.2">
      <c r="A94" s="5">
        <v>109</v>
      </c>
      <c r="B94" s="5">
        <v>0.69886999999999999</v>
      </c>
      <c r="C94" s="29">
        <f t="shared" si="3"/>
        <v>18.722489392758064</v>
      </c>
      <c r="D94" s="30">
        <f t="shared" si="2"/>
        <v>13.084586161916828</v>
      </c>
    </row>
    <row r="95" spans="1:4" x14ac:dyDescent="0.2">
      <c r="A95" s="5">
        <v>110</v>
      </c>
      <c r="B95" s="5">
        <v>0.73187000000000002</v>
      </c>
      <c r="C95" s="31">
        <f t="shared" si="3"/>
        <v>5.6379032308412356</v>
      </c>
      <c r="D95" s="32">
        <f t="shared" si="2"/>
        <v>4.1262122375557748</v>
      </c>
    </row>
  </sheetData>
  <pageMargins left="0.75" right="0.75" top="1" bottom="1" header="0.5" footer="0.5"/>
  <pageSetup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J95"/>
  <sheetViews>
    <sheetView workbookViewId="0">
      <selection activeCell="E1" sqref="E1"/>
    </sheetView>
  </sheetViews>
  <sheetFormatPr baseColWidth="10" defaultRowHeight="16" x14ac:dyDescent="0.2"/>
  <sheetData>
    <row r="1" spans="1:10" x14ac:dyDescent="0.2">
      <c r="A1" s="4" t="s">
        <v>28</v>
      </c>
      <c r="B1" s="5"/>
    </row>
    <row r="2" spans="1:10" x14ac:dyDescent="0.2">
      <c r="A2" s="5"/>
      <c r="B2" s="6"/>
      <c r="C2" s="2" t="s">
        <v>33</v>
      </c>
      <c r="H2" s="2" t="s">
        <v>35</v>
      </c>
    </row>
    <row r="3" spans="1:10" x14ac:dyDescent="0.2">
      <c r="A3" s="5"/>
      <c r="B3" s="5"/>
      <c r="C3" t="s">
        <v>32</v>
      </c>
      <c r="H3" t="s">
        <v>36</v>
      </c>
    </row>
    <row r="4" spans="1:10" ht="18" x14ac:dyDescent="0.25">
      <c r="A4" s="5" t="s">
        <v>0</v>
      </c>
      <c r="B4" s="5" t="s">
        <v>9</v>
      </c>
      <c r="C4" t="s">
        <v>29</v>
      </c>
      <c r="D4" t="s">
        <v>30</v>
      </c>
      <c r="E4" t="s">
        <v>31</v>
      </c>
      <c r="F4" t="s">
        <v>34</v>
      </c>
      <c r="H4" t="s">
        <v>29</v>
      </c>
      <c r="I4" t="s">
        <v>30</v>
      </c>
      <c r="J4" t="s">
        <v>31</v>
      </c>
    </row>
    <row r="5" spans="1:10" x14ac:dyDescent="0.2">
      <c r="A5" s="5">
        <v>20</v>
      </c>
      <c r="B5" s="5">
        <v>1.0300000000000001E-3</v>
      </c>
      <c r="C5" s="40">
        <f>B5*0.25</f>
        <v>2.5750000000000002E-4</v>
      </c>
      <c r="D5" s="10">
        <f>B5*0.5/(1-0.5*B5)</f>
        <v>5.1526536166125562E-4</v>
      </c>
      <c r="E5" s="41">
        <f>1-F5</f>
        <v>7.8756249202505124E-4</v>
      </c>
      <c r="F5" s="34">
        <f>(1-0.25*B5/(1-0.75*B5))*(1-0.5*B6)</f>
        <v>0.99921243750797495</v>
      </c>
      <c r="H5" s="37">
        <f>1-(1-B5)^0.25</f>
        <v>2.575995191758107E-4</v>
      </c>
      <c r="I5" s="7">
        <f>1-(1-B5)^0.5</f>
        <v>5.1513268083946961E-4</v>
      </c>
      <c r="J5" s="20">
        <f>1-((1-B5)^0.25)*((1-B6)^0.5)</f>
        <v>7.8760347971951195E-4</v>
      </c>
    </row>
    <row r="6" spans="1:10" x14ac:dyDescent="0.2">
      <c r="A6" s="5">
        <v>21</v>
      </c>
      <c r="B6" s="5">
        <v>1.06E-3</v>
      </c>
      <c r="C6" s="42">
        <f t="shared" ref="C6:C69" si="0">B6*0.25</f>
        <v>2.6499999999999999E-4</v>
      </c>
      <c r="D6" s="11">
        <f>B6*0.5/(1-0.5*B6)</f>
        <v>5.3028104895594668E-4</v>
      </c>
      <c r="E6" s="43">
        <f t="shared" ref="E6:E69" si="1">1-F6</f>
        <v>8.150649766565099E-4</v>
      </c>
      <c r="F6" s="34">
        <f t="shared" ref="F6:F69" si="2">(1-0.25*B6/(1-0.75*B6))*(1-0.5*B7)</f>
        <v>0.99918493502334349</v>
      </c>
      <c r="H6" s="38">
        <f t="shared" ref="H6:H69" si="3">1-(1-B6)^0.25</f>
        <v>2.6510540268120941E-4</v>
      </c>
      <c r="I6" s="8">
        <f t="shared" ref="I6:I69" si="4">1-(1-B6)^0.5</f>
        <v>5.3014052448785431E-4</v>
      </c>
      <c r="J6" s="23">
        <f t="shared" ref="J6:J69" si="5">1-((1-B6)^0.25)*((1-B7)^0.5)</f>
        <v>8.1511088783525754E-4</v>
      </c>
    </row>
    <row r="7" spans="1:10" x14ac:dyDescent="0.2">
      <c r="A7" s="5">
        <v>22</v>
      </c>
      <c r="B7" s="5">
        <v>1.1000000000000001E-3</v>
      </c>
      <c r="C7" s="42">
        <f t="shared" si="0"/>
        <v>2.7500000000000002E-4</v>
      </c>
      <c r="D7" s="11">
        <f t="shared" ref="D7:D70" si="6">B7*0.5/(1-0.5*B7)</f>
        <v>5.5030266646655666E-4</v>
      </c>
      <c r="E7" s="43">
        <f t="shared" si="1"/>
        <v>8.4007155903620401E-4</v>
      </c>
      <c r="F7" s="34">
        <f t="shared" si="2"/>
        <v>0.9991599284409638</v>
      </c>
      <c r="H7" s="38">
        <f t="shared" si="3"/>
        <v>2.7511351034414933E-4</v>
      </c>
      <c r="I7" s="8">
        <f t="shared" si="4"/>
        <v>5.5015133324476384E-4</v>
      </c>
      <c r="J7" s="23">
        <f t="shared" si="5"/>
        <v>8.4011773001912982E-4</v>
      </c>
    </row>
    <row r="8" spans="1:10" x14ac:dyDescent="0.2">
      <c r="A8" s="5">
        <v>23</v>
      </c>
      <c r="B8" s="5">
        <v>1.1299999999999999E-3</v>
      </c>
      <c r="C8" s="42">
        <f t="shared" si="0"/>
        <v>2.8249999999999998E-4</v>
      </c>
      <c r="D8" s="11">
        <f t="shared" si="6"/>
        <v>5.6531940546408722E-4</v>
      </c>
      <c r="E8" s="43">
        <f t="shared" si="1"/>
        <v>8.7257280545249838E-4</v>
      </c>
      <c r="F8" s="34">
        <f t="shared" si="2"/>
        <v>0.9991274271945475</v>
      </c>
      <c r="H8" s="38">
        <f t="shared" si="3"/>
        <v>2.8261978834476231E-4</v>
      </c>
      <c r="I8" s="8">
        <f t="shared" si="4"/>
        <v>5.6515970274473304E-4</v>
      </c>
      <c r="J8" s="23">
        <f t="shared" si="5"/>
        <v>8.7262714621594295E-4</v>
      </c>
    </row>
    <row r="9" spans="1:10" x14ac:dyDescent="0.2">
      <c r="A9" s="5">
        <v>24</v>
      </c>
      <c r="B9" s="5">
        <v>1.1800000000000001E-3</v>
      </c>
      <c r="C9" s="42">
        <f t="shared" si="0"/>
        <v>2.9500000000000001E-4</v>
      </c>
      <c r="D9" s="11">
        <f t="shared" si="6"/>
        <v>5.903483055002452E-4</v>
      </c>
      <c r="E9" s="43">
        <f t="shared" si="1"/>
        <v>9.0508119685916988E-4</v>
      </c>
      <c r="F9" s="34">
        <f t="shared" si="2"/>
        <v>0.99909491880314083</v>
      </c>
      <c r="H9" s="38">
        <f t="shared" si="3"/>
        <v>2.951306274262544E-4</v>
      </c>
      <c r="I9" s="8">
        <f t="shared" si="4"/>
        <v>5.9017415276529928E-4</v>
      </c>
      <c r="J9" s="23">
        <f t="shared" si="5"/>
        <v>9.0513670637804022E-4</v>
      </c>
    </row>
    <row r="10" spans="1:10" x14ac:dyDescent="0.2">
      <c r="A10" s="5">
        <v>25</v>
      </c>
      <c r="B10" s="5">
        <v>1.2199999999999999E-3</v>
      </c>
      <c r="C10" s="42">
        <f t="shared" si="0"/>
        <v>3.0499999999999999E-4</v>
      </c>
      <c r="D10" s="11">
        <f t="shared" si="6"/>
        <v>6.1037232711954291E-4</v>
      </c>
      <c r="E10" s="43">
        <f t="shared" si="1"/>
        <v>9.4008547821256006E-4</v>
      </c>
      <c r="F10" s="34">
        <f t="shared" si="2"/>
        <v>0.99905991452178744</v>
      </c>
      <c r="H10" s="38">
        <f t="shared" si="3"/>
        <v>3.0513963688760803E-4</v>
      </c>
      <c r="I10" s="8">
        <f t="shared" si="4"/>
        <v>6.1018616357710886E-4</v>
      </c>
      <c r="J10" s="23">
        <f t="shared" si="5"/>
        <v>9.4014755228466473E-4</v>
      </c>
    </row>
    <row r="11" spans="1:10" x14ac:dyDescent="0.2">
      <c r="A11" s="5">
        <v>26</v>
      </c>
      <c r="B11" s="5">
        <v>1.2700000000000001E-3</v>
      </c>
      <c r="C11" s="42">
        <f t="shared" si="0"/>
        <v>3.1750000000000002E-4</v>
      </c>
      <c r="D11" s="11">
        <f t="shared" si="6"/>
        <v>6.3540348121056878E-4</v>
      </c>
      <c r="E11" s="43">
        <f t="shared" si="1"/>
        <v>9.8259136827827387E-4</v>
      </c>
      <c r="F11" s="34">
        <f t="shared" si="2"/>
        <v>0.99901740863172173</v>
      </c>
      <c r="H11" s="38">
        <f t="shared" si="3"/>
        <v>3.1765132149386144E-4</v>
      </c>
      <c r="I11" s="8">
        <f t="shared" si="4"/>
        <v>6.3520174062559054E-4</v>
      </c>
      <c r="J11" s="23">
        <f t="shared" si="5"/>
        <v>9.8266127274382331E-4</v>
      </c>
    </row>
    <row r="12" spans="1:10" x14ac:dyDescent="0.2">
      <c r="A12" s="5">
        <v>27</v>
      </c>
      <c r="B12" s="5">
        <v>1.33E-3</v>
      </c>
      <c r="C12" s="42">
        <f t="shared" si="0"/>
        <v>3.325E-4</v>
      </c>
      <c r="D12" s="11">
        <f t="shared" si="6"/>
        <v>6.6544251927531809E-4</v>
      </c>
      <c r="E12" s="43">
        <f t="shared" si="1"/>
        <v>1.0276006816800631E-3</v>
      </c>
      <c r="F12" s="34">
        <f t="shared" si="2"/>
        <v>0.99897239931831994</v>
      </c>
      <c r="H12" s="38">
        <f t="shared" si="3"/>
        <v>3.3266596315262298E-4</v>
      </c>
      <c r="I12" s="8">
        <f t="shared" si="4"/>
        <v>6.6522125966217427E-4</v>
      </c>
      <c r="J12" s="23">
        <f t="shared" si="5"/>
        <v>1.0276763604065708E-3</v>
      </c>
    </row>
    <row r="13" spans="1:10" x14ac:dyDescent="0.2">
      <c r="A13" s="5">
        <v>28</v>
      </c>
      <c r="B13" s="5">
        <v>1.39E-3</v>
      </c>
      <c r="C13" s="42">
        <f t="shared" si="0"/>
        <v>3.4749999999999999E-4</v>
      </c>
      <c r="D13" s="11">
        <f t="shared" si="6"/>
        <v>6.9548336093585043E-4</v>
      </c>
      <c r="E13" s="43">
        <f t="shared" si="1"/>
        <v>1.0776087070771823E-3</v>
      </c>
      <c r="F13" s="34">
        <f t="shared" si="2"/>
        <v>0.99892239129292282</v>
      </c>
      <c r="H13" s="38">
        <f t="shared" si="3"/>
        <v>3.4768128138529253E-4</v>
      </c>
      <c r="I13" s="8">
        <f t="shared" si="4"/>
        <v>6.9524168049717172E-4</v>
      </c>
      <c r="J13" s="23">
        <f t="shared" si="5"/>
        <v>1.0776940260287526E-3</v>
      </c>
    </row>
    <row r="14" spans="1:10" x14ac:dyDescent="0.2">
      <c r="A14" s="5">
        <v>29</v>
      </c>
      <c r="B14" s="5">
        <v>1.4599999999999999E-3</v>
      </c>
      <c r="C14" s="42">
        <f t="shared" si="0"/>
        <v>3.6499999999999998E-4</v>
      </c>
      <c r="D14" s="11">
        <f t="shared" si="6"/>
        <v>7.3053328930118989E-4</v>
      </c>
      <c r="E14" s="43">
        <f t="shared" si="1"/>
        <v>1.1301205820374305E-3</v>
      </c>
      <c r="F14" s="34">
        <f t="shared" si="2"/>
        <v>0.99886987941796257</v>
      </c>
      <c r="H14" s="38">
        <f t="shared" si="3"/>
        <v>3.652000078659956E-4</v>
      </c>
      <c r="I14" s="8">
        <f t="shared" si="4"/>
        <v>7.3026664468622826E-4</v>
      </c>
      <c r="J14" s="23">
        <f t="shared" si="5"/>
        <v>1.1302133594789376E-3</v>
      </c>
    </row>
    <row r="15" spans="1:10" x14ac:dyDescent="0.2">
      <c r="A15" s="5">
        <v>30</v>
      </c>
      <c r="B15" s="5">
        <v>1.5299999999999999E-3</v>
      </c>
      <c r="C15" s="42">
        <f t="shared" si="0"/>
        <v>3.8249999999999997E-4</v>
      </c>
      <c r="D15" s="11">
        <f t="shared" si="6"/>
        <v>7.6558567303987551E-4</v>
      </c>
      <c r="E15" s="43">
        <f t="shared" si="1"/>
        <v>1.1876311567522446E-3</v>
      </c>
      <c r="F15" s="34">
        <f t="shared" si="2"/>
        <v>0.99881236884324776</v>
      </c>
      <c r="H15" s="38">
        <f t="shared" si="3"/>
        <v>3.8271965544878217E-4</v>
      </c>
      <c r="I15" s="8">
        <f t="shared" si="4"/>
        <v>7.6529283656290303E-4</v>
      </c>
      <c r="J15" s="23">
        <f t="shared" si="5"/>
        <v>1.1877357156130364E-3</v>
      </c>
    </row>
    <row r="16" spans="1:10" x14ac:dyDescent="0.2">
      <c r="A16" s="5">
        <v>31</v>
      </c>
      <c r="B16" s="5">
        <v>1.6100000000000001E-3</v>
      </c>
      <c r="C16" s="42">
        <f t="shared" si="0"/>
        <v>4.0250000000000003E-4</v>
      </c>
      <c r="D16" s="11">
        <f t="shared" si="6"/>
        <v>8.0564854708039971E-4</v>
      </c>
      <c r="E16" s="43">
        <f t="shared" si="1"/>
        <v>1.2526440677117501E-3</v>
      </c>
      <c r="F16" s="34">
        <f t="shared" si="2"/>
        <v>0.99874735593228825</v>
      </c>
      <c r="H16" s="38">
        <f t="shared" si="3"/>
        <v>4.0274323785427502E-4</v>
      </c>
      <c r="I16" s="8">
        <f t="shared" si="4"/>
        <v>8.0532427359281122E-4</v>
      </c>
      <c r="J16" s="23">
        <f t="shared" si="5"/>
        <v>1.2527623178764102E-3</v>
      </c>
    </row>
    <row r="17" spans="1:10" x14ac:dyDescent="0.2">
      <c r="A17" s="5">
        <v>32</v>
      </c>
      <c r="B17" s="5">
        <v>1.6999999999999999E-3</v>
      </c>
      <c r="C17" s="42">
        <f t="shared" si="0"/>
        <v>4.2499999999999998E-4</v>
      </c>
      <c r="D17" s="11">
        <f t="shared" si="6"/>
        <v>8.5072311464745034E-4</v>
      </c>
      <c r="E17" s="43">
        <f t="shared" si="1"/>
        <v>1.3201617061753268E-3</v>
      </c>
      <c r="F17" s="34">
        <f t="shared" si="2"/>
        <v>0.99867983829382467</v>
      </c>
      <c r="H17" s="38">
        <f t="shared" si="3"/>
        <v>4.2527120649415995E-4</v>
      </c>
      <c r="I17" s="8">
        <f t="shared" si="4"/>
        <v>8.5036155738915653E-4</v>
      </c>
      <c r="J17" s="23">
        <f t="shared" si="5"/>
        <v>1.3202912896455032E-3</v>
      </c>
    </row>
    <row r="18" spans="1:10" x14ac:dyDescent="0.2">
      <c r="A18" s="5">
        <v>33</v>
      </c>
      <c r="B18" s="5">
        <v>1.7899999999999999E-3</v>
      </c>
      <c r="C18" s="42">
        <f t="shared" si="0"/>
        <v>4.4749999999999998E-4</v>
      </c>
      <c r="D18" s="11">
        <f t="shared" si="6"/>
        <v>8.9580174255959075E-4</v>
      </c>
      <c r="E18" s="43">
        <f t="shared" si="1"/>
        <v>1.3976758798688316E-3</v>
      </c>
      <c r="F18" s="34">
        <f t="shared" si="2"/>
        <v>0.99860232412013117</v>
      </c>
      <c r="H18" s="38">
        <f t="shared" si="3"/>
        <v>4.4780069841288128E-4</v>
      </c>
      <c r="I18" s="8">
        <f t="shared" si="4"/>
        <v>8.9540087136019686E-4</v>
      </c>
      <c r="J18" s="23">
        <f t="shared" si="5"/>
        <v>1.3978267646843623E-3</v>
      </c>
    </row>
    <row r="19" spans="1:10" x14ac:dyDescent="0.2">
      <c r="A19" s="5">
        <v>34</v>
      </c>
      <c r="B19" s="5">
        <v>1.9E-3</v>
      </c>
      <c r="C19" s="42">
        <f t="shared" si="0"/>
        <v>4.75E-4</v>
      </c>
      <c r="D19" s="11">
        <f t="shared" si="6"/>
        <v>9.5090335819028073E-4</v>
      </c>
      <c r="E19" s="43">
        <f t="shared" si="1"/>
        <v>1.4801997846931592E-3</v>
      </c>
      <c r="F19" s="34">
        <f t="shared" si="2"/>
        <v>0.99851980021530684</v>
      </c>
      <c r="H19" s="38">
        <f t="shared" si="3"/>
        <v>4.7533881309225201E-4</v>
      </c>
      <c r="I19" s="8">
        <f t="shared" si="4"/>
        <v>9.504516791972728E-4</v>
      </c>
      <c r="J19" s="23">
        <f t="shared" si="5"/>
        <v>1.4803663779675569E-3</v>
      </c>
    </row>
    <row r="20" spans="1:10" x14ac:dyDescent="0.2">
      <c r="A20" s="5">
        <v>35</v>
      </c>
      <c r="B20" s="5">
        <v>2.0100000000000001E-3</v>
      </c>
      <c r="C20" s="42">
        <f t="shared" si="0"/>
        <v>5.0250000000000002E-4</v>
      </c>
      <c r="D20" s="11">
        <f t="shared" si="6"/>
        <v>1.0060110410963019E-3</v>
      </c>
      <c r="E20" s="43">
        <f t="shared" si="1"/>
        <v>1.5727201756647879E-3</v>
      </c>
      <c r="F20" s="34">
        <f t="shared" si="2"/>
        <v>0.99842727982433521</v>
      </c>
      <c r="H20" s="38">
        <f t="shared" si="3"/>
        <v>5.0287920408498277E-4</v>
      </c>
      <c r="I20" s="8">
        <f t="shared" si="4"/>
        <v>1.0055055206760199E-3</v>
      </c>
      <c r="J20" s="23">
        <f t="shared" si="5"/>
        <v>1.5729138984970081E-3</v>
      </c>
    </row>
    <row r="21" spans="1:10" x14ac:dyDescent="0.2">
      <c r="A21" s="5">
        <v>36</v>
      </c>
      <c r="B21" s="5">
        <v>2.14E-3</v>
      </c>
      <c r="C21" s="42">
        <f t="shared" si="0"/>
        <v>5.3499999999999999E-4</v>
      </c>
      <c r="D21" s="11">
        <f t="shared" si="6"/>
        <v>1.0711461263552E-3</v>
      </c>
      <c r="E21" s="43">
        <f t="shared" si="1"/>
        <v>1.6752491749257858E-3</v>
      </c>
      <c r="F21" s="34">
        <f t="shared" si="2"/>
        <v>0.99832475082507421</v>
      </c>
      <c r="H21" s="38">
        <f t="shared" si="3"/>
        <v>5.3542987424615163E-4</v>
      </c>
      <c r="I21" s="8">
        <f t="shared" si="4"/>
        <v>1.0705730633420174E-3</v>
      </c>
      <c r="J21" s="23">
        <f t="shared" si="5"/>
        <v>1.6754696776991596E-3</v>
      </c>
    </row>
    <row r="22" spans="1:10" x14ac:dyDescent="0.2">
      <c r="A22" s="5">
        <v>37</v>
      </c>
      <c r="B22" s="5">
        <v>2.2799999999999999E-3</v>
      </c>
      <c r="C22" s="42">
        <f t="shared" si="0"/>
        <v>5.6999999999999998E-4</v>
      </c>
      <c r="D22" s="11">
        <f t="shared" si="6"/>
        <v>1.1413010832348877E-3</v>
      </c>
      <c r="E22" s="43">
        <f t="shared" si="1"/>
        <v>1.7852826333029093E-3</v>
      </c>
      <c r="F22" s="34">
        <f t="shared" si="2"/>
        <v>0.99821471736669709</v>
      </c>
      <c r="H22" s="38">
        <f t="shared" si="3"/>
        <v>5.7048799919323656E-4</v>
      </c>
      <c r="I22" s="8">
        <f t="shared" si="4"/>
        <v>1.1406505418292134E-3</v>
      </c>
      <c r="J22" s="23">
        <f t="shared" si="5"/>
        <v>1.7855334453485971E-3</v>
      </c>
    </row>
    <row r="23" spans="1:10" x14ac:dyDescent="0.2">
      <c r="A23" s="5">
        <v>38</v>
      </c>
      <c r="B23" s="5">
        <v>2.4299999999999999E-3</v>
      </c>
      <c r="C23" s="42">
        <f t="shared" si="0"/>
        <v>6.0749999999999997E-4</v>
      </c>
      <c r="D23" s="11">
        <f t="shared" si="6"/>
        <v>1.2164780207952661E-3</v>
      </c>
      <c r="E23" s="43">
        <f t="shared" si="1"/>
        <v>1.9078179983018639E-3</v>
      </c>
      <c r="F23" s="34">
        <f t="shared" si="2"/>
        <v>0.99809218200169814</v>
      </c>
      <c r="H23" s="38">
        <f t="shared" si="3"/>
        <v>6.0805437039423982E-4</v>
      </c>
      <c r="I23" s="8">
        <f t="shared" si="4"/>
        <v>1.2157390106710686E-3</v>
      </c>
      <c r="J23" s="23">
        <f t="shared" si="5"/>
        <v>1.9081094855261105E-3</v>
      </c>
    </row>
    <row r="24" spans="1:10" x14ac:dyDescent="0.2">
      <c r="A24" s="5">
        <v>39</v>
      </c>
      <c r="B24" s="5">
        <v>2.5999999999999999E-3</v>
      </c>
      <c r="C24" s="42">
        <f t="shared" si="0"/>
        <v>6.4999999999999997E-4</v>
      </c>
      <c r="D24" s="11">
        <f t="shared" si="6"/>
        <v>1.3016921998598176E-3</v>
      </c>
      <c r="E24" s="43">
        <f t="shared" si="1"/>
        <v>2.0403647111867373E-3</v>
      </c>
      <c r="F24" s="34">
        <f t="shared" si="2"/>
        <v>0.99795963528881326</v>
      </c>
      <c r="H24" s="38">
        <f t="shared" si="3"/>
        <v>6.5063471290893737E-4</v>
      </c>
      <c r="I24" s="8">
        <f t="shared" si="4"/>
        <v>1.3008461002883553E-3</v>
      </c>
      <c r="J24" s="23">
        <f t="shared" si="5"/>
        <v>2.0406970963843252E-3</v>
      </c>
    </row>
    <row r="25" spans="1:10" x14ac:dyDescent="0.2">
      <c r="A25" s="5">
        <v>40</v>
      </c>
      <c r="B25" s="5">
        <v>2.7799999999999999E-3</v>
      </c>
      <c r="C25" s="42">
        <f t="shared" si="0"/>
        <v>6.9499999999999998E-4</v>
      </c>
      <c r="D25" s="11">
        <f t="shared" si="6"/>
        <v>1.3919347893572064E-3</v>
      </c>
      <c r="E25" s="43">
        <f t="shared" si="1"/>
        <v>2.1854143890011057E-3</v>
      </c>
      <c r="F25" s="34">
        <f t="shared" si="2"/>
        <v>0.99781458561099889</v>
      </c>
      <c r="H25" s="38">
        <f t="shared" si="3"/>
        <v>6.9572571470866151E-4</v>
      </c>
      <c r="I25" s="8">
        <f t="shared" si="4"/>
        <v>1.3909673951472135E-3</v>
      </c>
      <c r="J25" s="23">
        <f t="shared" si="5"/>
        <v>2.1858000170120739E-3</v>
      </c>
    </row>
    <row r="26" spans="1:10" x14ac:dyDescent="0.2">
      <c r="A26" s="5">
        <v>41</v>
      </c>
      <c r="B26" s="5">
        <v>2.98E-3</v>
      </c>
      <c r="C26" s="42">
        <f t="shared" si="0"/>
        <v>7.45E-4</v>
      </c>
      <c r="D26" s="11">
        <f t="shared" si="6"/>
        <v>1.4922234128851989E-3</v>
      </c>
      <c r="E26" s="43">
        <f t="shared" si="1"/>
        <v>2.3454741346911057E-3</v>
      </c>
      <c r="F26" s="34">
        <f t="shared" si="2"/>
        <v>0.99765452586530889</v>
      </c>
      <c r="H26" s="38">
        <f t="shared" si="3"/>
        <v>7.4583398769934028E-4</v>
      </c>
      <c r="I26" s="8">
        <f t="shared" si="4"/>
        <v>1.4911117070615099E-3</v>
      </c>
      <c r="J26" s="23">
        <f t="shared" si="5"/>
        <v>2.3459217492262097E-3</v>
      </c>
    </row>
    <row r="27" spans="1:10" x14ac:dyDescent="0.2">
      <c r="A27" s="5">
        <v>42</v>
      </c>
      <c r="B27" s="5">
        <v>3.2000000000000002E-3</v>
      </c>
      <c r="C27" s="42">
        <f t="shared" si="0"/>
        <v>8.0000000000000004E-4</v>
      </c>
      <c r="D27" s="11">
        <f t="shared" si="6"/>
        <v>1.6025641025641027E-3</v>
      </c>
      <c r="E27" s="43">
        <f t="shared" si="1"/>
        <v>2.5205453087410179E-3</v>
      </c>
      <c r="F27" s="34">
        <f t="shared" si="2"/>
        <v>0.99747945469125898</v>
      </c>
      <c r="H27" s="38">
        <f t="shared" si="3"/>
        <v>8.0096179595190442E-4</v>
      </c>
      <c r="I27" s="8">
        <f t="shared" si="4"/>
        <v>1.6012820521051907E-3</v>
      </c>
      <c r="J27" s="23">
        <f t="shared" si="5"/>
        <v>2.5210647045452728E-3</v>
      </c>
    </row>
    <row r="28" spans="1:10" x14ac:dyDescent="0.2">
      <c r="A28" s="5">
        <v>43</v>
      </c>
      <c r="B28" s="5">
        <v>3.4399999999999999E-3</v>
      </c>
      <c r="C28" s="42">
        <f t="shared" si="0"/>
        <v>8.5999999999999998E-4</v>
      </c>
      <c r="D28" s="11">
        <f t="shared" si="6"/>
        <v>1.7229634972152103E-3</v>
      </c>
      <c r="E28" s="43">
        <f t="shared" si="1"/>
        <v>2.7156251127909981E-3</v>
      </c>
      <c r="F28" s="34">
        <f t="shared" si="2"/>
        <v>0.997284374887209</v>
      </c>
      <c r="H28" s="38">
        <f t="shared" si="3"/>
        <v>8.6111163147462033E-4</v>
      </c>
      <c r="I28" s="8">
        <f t="shared" si="4"/>
        <v>1.7214817497073209E-3</v>
      </c>
      <c r="J28" s="23">
        <f t="shared" si="5"/>
        <v>2.7162364965606089E-3</v>
      </c>
    </row>
    <row r="29" spans="1:10" x14ac:dyDescent="0.2">
      <c r="A29" s="5">
        <v>44</v>
      </c>
      <c r="B29" s="5">
        <v>3.7100000000000002E-3</v>
      </c>
      <c r="C29" s="42">
        <f t="shared" si="0"/>
        <v>9.2750000000000005E-4</v>
      </c>
      <c r="D29" s="11">
        <f t="shared" si="6"/>
        <v>1.8584474199640334E-3</v>
      </c>
      <c r="E29" s="43">
        <f t="shared" si="1"/>
        <v>2.928227793836391E-3</v>
      </c>
      <c r="F29" s="34">
        <f t="shared" si="2"/>
        <v>0.99707177220616361</v>
      </c>
      <c r="H29" s="38">
        <f t="shared" si="3"/>
        <v>9.2879318412464329E-4</v>
      </c>
      <c r="I29" s="8">
        <f t="shared" si="4"/>
        <v>1.8567237114703872E-3</v>
      </c>
      <c r="J29" s="23">
        <f t="shared" si="5"/>
        <v>2.9289377464736255E-3</v>
      </c>
    </row>
    <row r="30" spans="1:10" x14ac:dyDescent="0.2">
      <c r="A30" s="5">
        <v>45</v>
      </c>
      <c r="B30" s="5">
        <v>4.0000000000000001E-3</v>
      </c>
      <c r="C30" s="42">
        <f t="shared" si="0"/>
        <v>1E-3</v>
      </c>
      <c r="D30" s="11">
        <f t="shared" si="6"/>
        <v>2.004008016032064E-3</v>
      </c>
      <c r="E30" s="43">
        <f t="shared" si="1"/>
        <v>3.1558475426279875E-3</v>
      </c>
      <c r="F30" s="34">
        <f t="shared" si="2"/>
        <v>0.99684415245737201</v>
      </c>
      <c r="H30" s="38">
        <f t="shared" si="3"/>
        <v>1.0015035096540004E-3</v>
      </c>
      <c r="I30" s="8">
        <f t="shared" si="4"/>
        <v>2.0020040100280356E-3</v>
      </c>
      <c r="J30" s="23">
        <f t="shared" si="5"/>
        <v>3.156669969019088E-3</v>
      </c>
    </row>
    <row r="31" spans="1:10" x14ac:dyDescent="0.2">
      <c r="A31" s="5">
        <v>46</v>
      </c>
      <c r="B31" s="5">
        <v>4.3099999999999996E-3</v>
      </c>
      <c r="C31" s="42">
        <f t="shared" si="0"/>
        <v>1.0774999999999999E-3</v>
      </c>
      <c r="D31" s="11">
        <f t="shared" si="6"/>
        <v>2.1596540544874202E-3</v>
      </c>
      <c r="E31" s="43">
        <f t="shared" si="1"/>
        <v>3.4084755973684544E-3</v>
      </c>
      <c r="F31" s="34">
        <f t="shared" si="2"/>
        <v>0.99659152440263155</v>
      </c>
      <c r="H31" s="38">
        <f t="shared" si="3"/>
        <v>1.0792459008357458E-3</v>
      </c>
      <c r="I31" s="8">
        <f t="shared" si="4"/>
        <v>2.157327029957079E-3</v>
      </c>
      <c r="J31" s="23">
        <f t="shared" si="5"/>
        <v>3.4094491146313688E-3</v>
      </c>
    </row>
    <row r="32" spans="1:10" x14ac:dyDescent="0.2">
      <c r="A32" s="5">
        <v>47</v>
      </c>
      <c r="B32" s="5">
        <v>4.6600000000000001E-3</v>
      </c>
      <c r="C32" s="42">
        <f t="shared" si="0"/>
        <v>1.165E-3</v>
      </c>
      <c r="D32" s="11">
        <f t="shared" si="6"/>
        <v>2.335441578878788E-3</v>
      </c>
      <c r="E32" s="43">
        <f t="shared" si="1"/>
        <v>3.6861398588065031E-3</v>
      </c>
      <c r="F32" s="34">
        <f t="shared" si="2"/>
        <v>0.9963138601411935</v>
      </c>
      <c r="H32" s="38">
        <f t="shared" si="3"/>
        <v>1.1670413893769549E-3</v>
      </c>
      <c r="I32" s="8">
        <f t="shared" si="4"/>
        <v>2.3327207931493898E-3</v>
      </c>
      <c r="J32" s="23">
        <f t="shared" si="5"/>
        <v>3.6872799569163117E-3</v>
      </c>
    </row>
    <row r="33" spans="1:10" x14ac:dyDescent="0.2">
      <c r="A33" s="5">
        <v>48</v>
      </c>
      <c r="B33" s="5">
        <v>5.0400000000000002E-3</v>
      </c>
      <c r="C33" s="42">
        <f t="shared" si="0"/>
        <v>1.2600000000000001E-3</v>
      </c>
      <c r="D33" s="11">
        <f t="shared" si="6"/>
        <v>2.5263664434374625E-3</v>
      </c>
      <c r="E33" s="43">
        <f t="shared" si="1"/>
        <v>3.9913280199153078E-3</v>
      </c>
      <c r="F33" s="34">
        <f t="shared" si="2"/>
        <v>0.99600867198008469</v>
      </c>
      <c r="H33" s="38">
        <f t="shared" si="3"/>
        <v>1.2623884256676154E-3</v>
      </c>
      <c r="I33" s="8">
        <f t="shared" si="4"/>
        <v>2.5231832267980092E-3</v>
      </c>
      <c r="J33" s="23">
        <f t="shared" si="5"/>
        <v>3.992674046209399E-3</v>
      </c>
    </row>
    <row r="34" spans="1:10" x14ac:dyDescent="0.2">
      <c r="A34" s="5">
        <v>49</v>
      </c>
      <c r="B34" s="5">
        <v>5.4599999999999996E-3</v>
      </c>
      <c r="C34" s="42">
        <f t="shared" si="0"/>
        <v>1.3649999999999999E-3</v>
      </c>
      <c r="D34" s="11">
        <f t="shared" si="6"/>
        <v>2.7374733021147731E-3</v>
      </c>
      <c r="E34" s="43">
        <f t="shared" si="1"/>
        <v>4.3265556453677689E-3</v>
      </c>
      <c r="F34" s="34">
        <f t="shared" si="2"/>
        <v>0.99567344435463223</v>
      </c>
      <c r="H34" s="38">
        <f t="shared" si="3"/>
        <v>1.3678037726091441E-3</v>
      </c>
      <c r="I34" s="8">
        <f t="shared" si="4"/>
        <v>2.7337366580577616E-3</v>
      </c>
      <c r="J34" s="23">
        <f t="shared" si="5"/>
        <v>4.3281428789113674E-3</v>
      </c>
    </row>
    <row r="35" spans="1:10" x14ac:dyDescent="0.2">
      <c r="A35" s="5">
        <v>50</v>
      </c>
      <c r="B35" s="5">
        <v>5.9199999999999999E-3</v>
      </c>
      <c r="C35" s="42">
        <f t="shared" si="0"/>
        <v>1.48E-3</v>
      </c>
      <c r="D35" s="11">
        <f t="shared" si="6"/>
        <v>2.9687876113295352E-3</v>
      </c>
      <c r="E35" s="43">
        <f t="shared" si="1"/>
        <v>4.6918285186227093E-3</v>
      </c>
      <c r="F35" s="34">
        <f t="shared" si="2"/>
        <v>0.99530817148137729</v>
      </c>
      <c r="H35" s="38">
        <f t="shared" si="3"/>
        <v>1.483296992657368E-3</v>
      </c>
      <c r="I35" s="8">
        <f t="shared" si="4"/>
        <v>2.9643938153463001E-3</v>
      </c>
      <c r="J35" s="23">
        <f t="shared" si="5"/>
        <v>4.6936965974001543E-3</v>
      </c>
    </row>
    <row r="36" spans="1:10" x14ac:dyDescent="0.2">
      <c r="A36" s="5">
        <v>51</v>
      </c>
      <c r="B36" s="5">
        <v>6.4200000000000004E-3</v>
      </c>
      <c r="C36" s="42">
        <f t="shared" si="0"/>
        <v>1.6050000000000001E-3</v>
      </c>
      <c r="D36" s="11">
        <f t="shared" si="6"/>
        <v>3.2203372826773947E-3</v>
      </c>
      <c r="E36" s="43">
        <f t="shared" si="1"/>
        <v>5.0921449780693129E-3</v>
      </c>
      <c r="F36" s="34">
        <f t="shared" si="2"/>
        <v>0.99490785502193069</v>
      </c>
      <c r="H36" s="38">
        <f t="shared" si="3"/>
        <v>1.6088785725001387E-3</v>
      </c>
      <c r="I36" s="8">
        <f t="shared" si="4"/>
        <v>3.2151686547392533E-3</v>
      </c>
      <c r="J36" s="23">
        <f t="shared" si="5"/>
        <v>5.0943556945793889E-3</v>
      </c>
    </row>
    <row r="37" spans="1:10" x14ac:dyDescent="0.2">
      <c r="A37" s="5">
        <v>52</v>
      </c>
      <c r="B37" s="5">
        <v>6.9699999999999996E-3</v>
      </c>
      <c r="C37" s="42">
        <f t="shared" si="0"/>
        <v>1.7424999999999999E-3</v>
      </c>
      <c r="D37" s="11">
        <f t="shared" si="6"/>
        <v>3.4971876991314729E-3</v>
      </c>
      <c r="E37" s="43">
        <f t="shared" si="1"/>
        <v>5.5350180066295884E-3</v>
      </c>
      <c r="F37" s="34">
        <f t="shared" si="2"/>
        <v>0.99446498199337041</v>
      </c>
      <c r="H37" s="38">
        <f t="shared" si="3"/>
        <v>1.7470730662485501E-3</v>
      </c>
      <c r="I37" s="8">
        <f t="shared" si="4"/>
        <v>3.4910938681983472E-3</v>
      </c>
      <c r="J37" s="23">
        <f t="shared" si="5"/>
        <v>5.5376484635918377E-3</v>
      </c>
    </row>
    <row r="38" spans="1:10" x14ac:dyDescent="0.2">
      <c r="A38" s="5">
        <v>53</v>
      </c>
      <c r="B38" s="5">
        <v>7.5799999999999999E-3</v>
      </c>
      <c r="C38" s="42">
        <f t="shared" si="0"/>
        <v>1.895E-3</v>
      </c>
      <c r="D38" s="11">
        <f t="shared" si="6"/>
        <v>3.8044187470513244E-3</v>
      </c>
      <c r="E38" s="43">
        <f t="shared" si="1"/>
        <v>6.0179826312587448E-3</v>
      </c>
      <c r="F38" s="34">
        <f t="shared" si="2"/>
        <v>0.99398201736874126</v>
      </c>
      <c r="H38" s="38">
        <f t="shared" si="3"/>
        <v>1.9004104798020505E-3</v>
      </c>
      <c r="I38" s="8">
        <f t="shared" si="4"/>
        <v>3.7972093996122558E-3</v>
      </c>
      <c r="J38" s="23">
        <f t="shared" si="5"/>
        <v>6.0210869410556311E-3</v>
      </c>
    </row>
    <row r="39" spans="1:10" x14ac:dyDescent="0.2">
      <c r="A39" s="5">
        <v>54</v>
      </c>
      <c r="B39" s="5">
        <v>8.2400000000000008E-3</v>
      </c>
      <c r="C39" s="42">
        <f t="shared" si="0"/>
        <v>2.0600000000000002E-3</v>
      </c>
      <c r="D39" s="11">
        <f t="shared" si="6"/>
        <v>4.1370446238502634E-3</v>
      </c>
      <c r="E39" s="43">
        <f t="shared" si="1"/>
        <v>6.5435237769415622E-3</v>
      </c>
      <c r="F39" s="34">
        <f t="shared" si="2"/>
        <v>0.99345647622305844</v>
      </c>
      <c r="H39" s="38">
        <f t="shared" si="3"/>
        <v>2.0663961707625411E-3</v>
      </c>
      <c r="I39" s="8">
        <f t="shared" si="4"/>
        <v>4.128522348390562E-3</v>
      </c>
      <c r="J39" s="23">
        <f t="shared" si="5"/>
        <v>6.5471982968435816E-3</v>
      </c>
    </row>
    <row r="40" spans="1:10" x14ac:dyDescent="0.2">
      <c r="A40" s="5">
        <v>55</v>
      </c>
      <c r="B40" s="5">
        <v>8.9599999999999992E-3</v>
      </c>
      <c r="C40" s="42">
        <f t="shared" si="0"/>
        <v>2.2399999999999998E-3</v>
      </c>
      <c r="D40" s="11">
        <f t="shared" si="6"/>
        <v>4.5001607200257148E-3</v>
      </c>
      <c r="E40" s="43">
        <f t="shared" si="1"/>
        <v>7.1191607603092733E-3</v>
      </c>
      <c r="F40" s="34">
        <f t="shared" si="2"/>
        <v>0.99288083923969073</v>
      </c>
      <c r="H40" s="38">
        <f t="shared" si="3"/>
        <v>2.2475659819459759E-3</v>
      </c>
      <c r="I40" s="8">
        <f t="shared" si="4"/>
        <v>4.4900804110488135E-3</v>
      </c>
      <c r="J40" s="23">
        <f t="shared" si="5"/>
        <v>7.1235233560223987E-3</v>
      </c>
    </row>
    <row r="41" spans="1:10" x14ac:dyDescent="0.2">
      <c r="A41" s="5">
        <v>56</v>
      </c>
      <c r="B41" s="5">
        <v>9.75E-3</v>
      </c>
      <c r="C41" s="42">
        <f t="shared" si="0"/>
        <v>2.4375E-3</v>
      </c>
      <c r="D41" s="11">
        <f t="shared" si="6"/>
        <v>4.8988820499937195E-3</v>
      </c>
      <c r="E41" s="43">
        <f t="shared" si="1"/>
        <v>7.752417049675886E-3</v>
      </c>
      <c r="F41" s="34">
        <f t="shared" si="2"/>
        <v>0.99224758295032411</v>
      </c>
      <c r="H41" s="38">
        <f t="shared" si="3"/>
        <v>2.4464631392664415E-3</v>
      </c>
      <c r="I41" s="8">
        <f t="shared" si="4"/>
        <v>4.8869410966410065E-3</v>
      </c>
      <c r="J41" s="23">
        <f t="shared" si="5"/>
        <v>7.7576111565252903E-3</v>
      </c>
    </row>
    <row r="42" spans="1:10" x14ac:dyDescent="0.2">
      <c r="A42" s="5">
        <v>57</v>
      </c>
      <c r="B42" s="5">
        <v>1.0619999999999999E-2</v>
      </c>
      <c r="C42" s="42">
        <f t="shared" si="0"/>
        <v>2.6549999999999998E-3</v>
      </c>
      <c r="D42" s="11">
        <f t="shared" si="6"/>
        <v>5.338346620555148E-3</v>
      </c>
      <c r="E42" s="43">
        <f t="shared" si="1"/>
        <v>8.4508209891787089E-3</v>
      </c>
      <c r="F42" s="34">
        <f t="shared" si="2"/>
        <v>0.99154917901082129</v>
      </c>
      <c r="H42" s="38">
        <f t="shared" si="3"/>
        <v>2.6656395226606344E-3</v>
      </c>
      <c r="I42" s="8">
        <f t="shared" si="4"/>
        <v>5.324173411256572E-3</v>
      </c>
      <c r="J42" s="23">
        <f t="shared" si="5"/>
        <v>8.457020338076493E-3</v>
      </c>
    </row>
    <row r="43" spans="1:10" x14ac:dyDescent="0.2">
      <c r="A43" s="5">
        <v>58</v>
      </c>
      <c r="B43" s="5">
        <v>1.158E-2</v>
      </c>
      <c r="C43" s="42">
        <f t="shared" si="0"/>
        <v>2.895E-3</v>
      </c>
      <c r="D43" s="11">
        <f t="shared" si="6"/>
        <v>5.8237193349493562E-3</v>
      </c>
      <c r="E43" s="43">
        <f t="shared" si="1"/>
        <v>9.2119358629699777E-3</v>
      </c>
      <c r="F43" s="34">
        <f t="shared" si="2"/>
        <v>0.99078806413703002</v>
      </c>
      <c r="H43" s="38">
        <f t="shared" si="3"/>
        <v>2.9076571402371076E-3</v>
      </c>
      <c r="I43" s="8">
        <f t="shared" si="4"/>
        <v>5.8068598104290547E-3</v>
      </c>
      <c r="J43" s="23">
        <f t="shared" si="5"/>
        <v>9.2192862391907715E-3</v>
      </c>
    </row>
    <row r="44" spans="1:10" x14ac:dyDescent="0.2">
      <c r="A44" s="5">
        <v>59</v>
      </c>
      <c r="B44" s="5">
        <v>1.2619999999999999E-2</v>
      </c>
      <c r="C44" s="42">
        <f t="shared" si="0"/>
        <v>3.1549999999999998E-3</v>
      </c>
      <c r="D44" s="11">
        <f t="shared" si="6"/>
        <v>6.3500689349797216E-3</v>
      </c>
      <c r="E44" s="43">
        <f t="shared" si="1"/>
        <v>1.0043233606081614E-2</v>
      </c>
      <c r="F44" s="34">
        <f t="shared" si="2"/>
        <v>0.98995676639391839</v>
      </c>
      <c r="H44" s="38">
        <f t="shared" si="3"/>
        <v>3.1700419176088346E-3</v>
      </c>
      <c r="I44" s="8">
        <f t="shared" si="4"/>
        <v>6.330034669458251E-3</v>
      </c>
      <c r="J44" s="23">
        <f t="shared" si="5"/>
        <v>1.005198792684403E-2</v>
      </c>
    </row>
    <row r="45" spans="1:10" x14ac:dyDescent="0.2">
      <c r="A45" s="5">
        <v>60</v>
      </c>
      <c r="B45" s="5">
        <v>1.376E-2</v>
      </c>
      <c r="C45" s="42">
        <f t="shared" si="0"/>
        <v>3.4399999999999999E-3</v>
      </c>
      <c r="D45" s="11">
        <f t="shared" si="6"/>
        <v>6.9276623167391655E-3</v>
      </c>
      <c r="E45" s="43">
        <f t="shared" si="1"/>
        <v>1.0954784576832854E-2</v>
      </c>
      <c r="F45" s="34">
        <f t="shared" si="2"/>
        <v>0.98904521542316715</v>
      </c>
      <c r="H45" s="38">
        <f t="shared" si="3"/>
        <v>3.4578942384348998E-3</v>
      </c>
      <c r="I45" s="8">
        <f t="shared" si="4"/>
        <v>6.9038314443057303E-3</v>
      </c>
      <c r="J45" s="23">
        <f t="shared" si="5"/>
        <v>1.0965220497441974E-2</v>
      </c>
    </row>
    <row r="46" spans="1:10" x14ac:dyDescent="0.2">
      <c r="A46" s="5">
        <v>61</v>
      </c>
      <c r="B46" s="5">
        <v>1.5010000000000001E-2</v>
      </c>
      <c r="C46" s="42">
        <f t="shared" si="0"/>
        <v>3.7525000000000002E-3</v>
      </c>
      <c r="D46" s="11">
        <f t="shared" si="6"/>
        <v>7.5617509408107851E-3</v>
      </c>
      <c r="E46" s="43">
        <f t="shared" si="1"/>
        <v>1.1954141851897804E-2</v>
      </c>
      <c r="F46" s="34">
        <f t="shared" si="2"/>
        <v>0.9880458581481022</v>
      </c>
      <c r="H46" s="38">
        <f t="shared" si="3"/>
        <v>3.7738087542793508E-3</v>
      </c>
      <c r="I46" s="8">
        <f t="shared" si="4"/>
        <v>7.5333758760448566E-3</v>
      </c>
      <c r="J46" s="23">
        <f t="shared" si="5"/>
        <v>1.1966589218358026E-2</v>
      </c>
    </row>
    <row r="47" spans="1:10" x14ac:dyDescent="0.2">
      <c r="A47" s="5">
        <v>62</v>
      </c>
      <c r="B47" s="5">
        <v>1.6379999999999999E-2</v>
      </c>
      <c r="C47" s="42">
        <f t="shared" si="0"/>
        <v>4.0949999999999997E-3</v>
      </c>
      <c r="D47" s="11">
        <f t="shared" si="6"/>
        <v>8.2576299896149463E-3</v>
      </c>
      <c r="E47" s="43">
        <f t="shared" si="1"/>
        <v>1.3048868145163262E-2</v>
      </c>
      <c r="F47" s="34">
        <f t="shared" si="2"/>
        <v>0.98695113185483674</v>
      </c>
      <c r="H47" s="38">
        <f t="shared" si="3"/>
        <v>4.1203966197898012E-3</v>
      </c>
      <c r="I47" s="8">
        <f t="shared" si="4"/>
        <v>8.2238155712751615E-3</v>
      </c>
      <c r="J47" s="23">
        <f t="shared" si="5"/>
        <v>1.3063717228341432E-2</v>
      </c>
    </row>
    <row r="48" spans="1:10" x14ac:dyDescent="0.2">
      <c r="A48" s="5">
        <v>63</v>
      </c>
      <c r="B48" s="5">
        <v>1.788E-2</v>
      </c>
      <c r="C48" s="42">
        <f t="shared" si="0"/>
        <v>4.47E-3</v>
      </c>
      <c r="D48" s="11">
        <f t="shared" si="6"/>
        <v>9.0206445623877453E-3</v>
      </c>
      <c r="E48" s="43">
        <f t="shared" si="1"/>
        <v>1.4246537264719916E-2</v>
      </c>
      <c r="F48" s="34">
        <f t="shared" si="2"/>
        <v>0.98575346273528008</v>
      </c>
      <c r="H48" s="38">
        <f t="shared" si="3"/>
        <v>4.5002878461006812E-3</v>
      </c>
      <c r="I48" s="8">
        <f t="shared" si="4"/>
        <v>8.9803231015036511E-3</v>
      </c>
      <c r="J48" s="23">
        <f t="shared" si="5"/>
        <v>1.4264247982534783E-2</v>
      </c>
    </row>
    <row r="49" spans="1:10" x14ac:dyDescent="0.2">
      <c r="A49" s="5">
        <v>64</v>
      </c>
      <c r="B49" s="5">
        <v>1.9519999999999999E-2</v>
      </c>
      <c r="C49" s="42">
        <f t="shared" si="0"/>
        <v>4.8799999999999998E-3</v>
      </c>
      <c r="D49" s="11">
        <f t="shared" si="6"/>
        <v>9.8561964776215857E-3</v>
      </c>
      <c r="E49" s="43">
        <f t="shared" si="1"/>
        <v>1.5360701469513627E-2</v>
      </c>
      <c r="F49" s="34">
        <f t="shared" si="2"/>
        <v>0.98463929853048637</v>
      </c>
      <c r="H49" s="38">
        <f t="shared" si="3"/>
        <v>4.9161338897051321E-3</v>
      </c>
      <c r="I49" s="8">
        <f t="shared" si="4"/>
        <v>9.8080994069886795E-3</v>
      </c>
      <c r="J49" s="23">
        <f t="shared" si="5"/>
        <v>1.5379724953520246E-2</v>
      </c>
    </row>
    <row r="50" spans="1:10" x14ac:dyDescent="0.2">
      <c r="A50" s="5">
        <v>65</v>
      </c>
      <c r="B50" s="5">
        <v>2.0920000000000001E-2</v>
      </c>
      <c r="C50" s="42">
        <f t="shared" si="0"/>
        <v>5.2300000000000003E-3</v>
      </c>
      <c r="D50" s="11">
        <f t="shared" si="6"/>
        <v>1.057056814277341E-2</v>
      </c>
      <c r="E50" s="43">
        <f t="shared" si="1"/>
        <v>1.7090456461886894E-2</v>
      </c>
      <c r="F50" s="34">
        <f t="shared" si="2"/>
        <v>0.98290954353811311</v>
      </c>
      <c r="H50" s="38">
        <f t="shared" si="3"/>
        <v>5.2715373609695249E-3</v>
      </c>
      <c r="I50" s="8">
        <f t="shared" si="4"/>
        <v>1.0515285615790848E-2</v>
      </c>
      <c r="J50" s="23">
        <f t="shared" si="5"/>
        <v>1.711968360965177E-2</v>
      </c>
    </row>
    <row r="51" spans="1:10" x14ac:dyDescent="0.2">
      <c r="A51" s="5">
        <v>66</v>
      </c>
      <c r="B51" s="5">
        <v>2.368E-2</v>
      </c>
      <c r="C51" s="42">
        <f t="shared" si="0"/>
        <v>5.9199999999999999E-3</v>
      </c>
      <c r="D51" s="11">
        <f t="shared" si="6"/>
        <v>1.1981865284974092E-2</v>
      </c>
      <c r="E51" s="43">
        <f t="shared" si="1"/>
        <v>1.8670376282782231E-2</v>
      </c>
      <c r="F51" s="34">
        <f t="shared" si="2"/>
        <v>0.98132962371721777</v>
      </c>
      <c r="H51" s="38">
        <f t="shared" si="3"/>
        <v>5.9733077972868864E-3</v>
      </c>
      <c r="I51" s="8">
        <f t="shared" si="4"/>
        <v>1.1910935188532701E-2</v>
      </c>
      <c r="J51" s="23">
        <f t="shared" si="5"/>
        <v>1.8698782736583208E-2</v>
      </c>
    </row>
    <row r="52" spans="1:10" x14ac:dyDescent="0.2">
      <c r="A52" s="5">
        <v>67</v>
      </c>
      <c r="B52" s="5">
        <v>2.5440000000000001E-2</v>
      </c>
      <c r="C52" s="42">
        <f t="shared" si="0"/>
        <v>6.3600000000000002E-3</v>
      </c>
      <c r="D52" s="11">
        <f t="shared" si="6"/>
        <v>1.2883882991653836E-2</v>
      </c>
      <c r="E52" s="43">
        <f t="shared" si="1"/>
        <v>2.028861803205162E-2</v>
      </c>
      <c r="F52" s="34">
        <f t="shared" si="2"/>
        <v>0.97971138196794838</v>
      </c>
      <c r="H52" s="38">
        <f t="shared" si="3"/>
        <v>6.4215908628888485E-3</v>
      </c>
      <c r="I52" s="8">
        <f t="shared" si="4"/>
        <v>1.2801944896567385E-2</v>
      </c>
      <c r="J52" s="23">
        <f t="shared" si="5"/>
        <v>2.0324634814109288E-2</v>
      </c>
    </row>
    <row r="53" spans="1:10" x14ac:dyDescent="0.2">
      <c r="A53" s="5">
        <v>68</v>
      </c>
      <c r="B53" s="5">
        <v>2.7789999999999999E-2</v>
      </c>
      <c r="C53" s="42">
        <f t="shared" si="0"/>
        <v>6.9474999999999997E-3</v>
      </c>
      <c r="D53" s="11">
        <f t="shared" si="6"/>
        <v>1.4090791548567343E-2</v>
      </c>
      <c r="E53" s="43">
        <f t="shared" si="1"/>
        <v>2.2172642143883925E-2</v>
      </c>
      <c r="F53" s="34">
        <f t="shared" si="2"/>
        <v>0.97782735785611608</v>
      </c>
      <c r="H53" s="38">
        <f t="shared" si="3"/>
        <v>7.0210982271967648E-3</v>
      </c>
      <c r="I53" s="8">
        <f t="shared" si="4"/>
        <v>1.3992900634077543E-2</v>
      </c>
      <c r="J53" s="23">
        <f t="shared" si="5"/>
        <v>2.2215737619908582E-2</v>
      </c>
    </row>
    <row r="54" spans="1:10" x14ac:dyDescent="0.2">
      <c r="A54" s="5">
        <v>69</v>
      </c>
      <c r="B54" s="5">
        <v>3.0370000000000001E-2</v>
      </c>
      <c r="C54" s="42">
        <f t="shared" si="0"/>
        <v>7.5925000000000003E-3</v>
      </c>
      <c r="D54" s="11">
        <f t="shared" si="6"/>
        <v>1.5419139635362988E-2</v>
      </c>
      <c r="E54" s="43">
        <f t="shared" si="1"/>
        <v>2.4230573589944959E-2</v>
      </c>
      <c r="F54" s="34">
        <f t="shared" si="2"/>
        <v>0.97576942641005504</v>
      </c>
      <c r="H54" s="38">
        <f t="shared" si="3"/>
        <v>7.6805336872818319E-3</v>
      </c>
      <c r="I54" s="8">
        <f t="shared" si="4"/>
        <v>1.5302076776842144E-2</v>
      </c>
      <c r="J54" s="23">
        <f t="shared" si="5"/>
        <v>2.4281984315850935E-2</v>
      </c>
    </row>
    <row r="55" spans="1:10" x14ac:dyDescent="0.2">
      <c r="A55" s="5">
        <v>70</v>
      </c>
      <c r="B55" s="5">
        <v>3.3180000000000001E-2</v>
      </c>
      <c r="C55" s="42">
        <f t="shared" si="0"/>
        <v>8.2950000000000003E-3</v>
      </c>
      <c r="D55" s="11">
        <f t="shared" si="6"/>
        <v>1.6869871162587324E-2</v>
      </c>
      <c r="E55" s="43">
        <f t="shared" si="1"/>
        <v>2.6482462683888541E-2</v>
      </c>
      <c r="F55" s="34">
        <f t="shared" si="2"/>
        <v>0.97351753731611146</v>
      </c>
      <c r="H55" s="38">
        <f t="shared" si="3"/>
        <v>8.400254910715832E-3</v>
      </c>
      <c r="I55" s="8">
        <f t="shared" si="4"/>
        <v>1.6729945538866753E-2</v>
      </c>
      <c r="J55" s="23">
        <f t="shared" si="5"/>
        <v>2.6543949483916029E-2</v>
      </c>
    </row>
    <row r="56" spans="1:10" x14ac:dyDescent="0.2">
      <c r="A56" s="5">
        <v>71</v>
      </c>
      <c r="B56" s="5">
        <v>3.6260000000000001E-2</v>
      </c>
      <c r="C56" s="42">
        <f t="shared" si="0"/>
        <v>9.0650000000000001E-3</v>
      </c>
      <c r="D56" s="11">
        <f t="shared" si="6"/>
        <v>1.8464766211412915E-2</v>
      </c>
      <c r="E56" s="43">
        <f t="shared" si="1"/>
        <v>2.8943816489430008E-2</v>
      </c>
      <c r="F56" s="34">
        <f t="shared" si="2"/>
        <v>0.97105618351056999</v>
      </c>
      <c r="H56" s="38">
        <f t="shared" si="3"/>
        <v>9.1909353338333055E-3</v>
      </c>
      <c r="I56" s="8">
        <f t="shared" si="4"/>
        <v>1.8297397375355851E-2</v>
      </c>
      <c r="J56" s="23">
        <f t="shared" si="5"/>
        <v>2.9017226976371213E-2</v>
      </c>
    </row>
    <row r="57" spans="1:10" x14ac:dyDescent="0.2">
      <c r="A57" s="5">
        <v>72</v>
      </c>
      <c r="B57" s="5">
        <v>3.9620000000000002E-2</v>
      </c>
      <c r="C57" s="42">
        <f t="shared" si="0"/>
        <v>9.9050000000000006E-3</v>
      </c>
      <c r="D57" s="11">
        <f t="shared" si="6"/>
        <v>2.0210367377753294E-2</v>
      </c>
      <c r="E57" s="43">
        <f t="shared" si="1"/>
        <v>3.1637330268941555E-2</v>
      </c>
      <c r="F57" s="34">
        <f t="shared" si="2"/>
        <v>0.96836266973105845</v>
      </c>
      <c r="H57" s="38">
        <f t="shared" si="3"/>
        <v>1.0055660218594609E-2</v>
      </c>
      <c r="I57" s="8">
        <f t="shared" si="4"/>
        <v>2.0010204134757292E-2</v>
      </c>
      <c r="J57" s="23">
        <f t="shared" si="5"/>
        <v>3.1725122858040078E-2</v>
      </c>
    </row>
    <row r="58" spans="1:10" x14ac:dyDescent="0.2">
      <c r="A58" s="5">
        <v>73</v>
      </c>
      <c r="B58" s="5">
        <v>4.3299999999999998E-2</v>
      </c>
      <c r="C58" s="42">
        <f t="shared" si="0"/>
        <v>1.0825E-2</v>
      </c>
      <c r="D58" s="11">
        <f t="shared" si="6"/>
        <v>2.212909490468646E-2</v>
      </c>
      <c r="E58" s="43">
        <f t="shared" si="1"/>
        <v>3.4578681171029135E-2</v>
      </c>
      <c r="F58" s="34">
        <f t="shared" si="2"/>
        <v>0.96542131882897086</v>
      </c>
      <c r="H58" s="38">
        <f t="shared" si="3"/>
        <v>1.1005347226757611E-2</v>
      </c>
      <c r="I58" s="8">
        <f t="shared" si="4"/>
        <v>2.1889576785933618E-2</v>
      </c>
      <c r="J58" s="23">
        <f t="shared" si="5"/>
        <v>3.4683461712268771E-2</v>
      </c>
    </row>
    <row r="59" spans="1:10" x14ac:dyDescent="0.2">
      <c r="A59" s="5">
        <v>74</v>
      </c>
      <c r="B59" s="5">
        <v>4.7309999999999998E-2</v>
      </c>
      <c r="C59" s="42">
        <f t="shared" si="0"/>
        <v>1.1827499999999999E-2</v>
      </c>
      <c r="D59" s="11">
        <f t="shared" si="6"/>
        <v>2.4228116086014675E-2</v>
      </c>
      <c r="E59" s="43">
        <f t="shared" si="1"/>
        <v>3.7790680884483674E-2</v>
      </c>
      <c r="F59" s="34">
        <f t="shared" si="2"/>
        <v>0.96220931911551633</v>
      </c>
      <c r="H59" s="38">
        <f t="shared" si="3"/>
        <v>1.2043320842387573E-2</v>
      </c>
      <c r="I59" s="8">
        <f t="shared" si="4"/>
        <v>2.3941600107862393E-2</v>
      </c>
      <c r="J59" s="23">
        <f t="shared" si="5"/>
        <v>3.7915834658051928E-2</v>
      </c>
    </row>
    <row r="60" spans="1:10" x14ac:dyDescent="0.2">
      <c r="A60" s="5">
        <v>75</v>
      </c>
      <c r="B60" s="5">
        <v>5.169E-2</v>
      </c>
      <c r="C60" s="42">
        <f t="shared" si="0"/>
        <v>1.29225E-2</v>
      </c>
      <c r="D60" s="11">
        <f t="shared" si="6"/>
        <v>2.6530685568518356E-2</v>
      </c>
      <c r="E60" s="43">
        <f t="shared" si="1"/>
        <v>4.1299095536199593E-2</v>
      </c>
      <c r="F60" s="34">
        <f t="shared" si="2"/>
        <v>0.95870090446380041</v>
      </c>
      <c r="H60" s="38">
        <f t="shared" si="3"/>
        <v>1.318081855656672E-2</v>
      </c>
      <c r="I60" s="8">
        <f t="shared" si="4"/>
        <v>2.6187903135312274E-2</v>
      </c>
      <c r="J60" s="23">
        <f t="shared" si="5"/>
        <v>4.144852628836948E-2</v>
      </c>
    </row>
    <row r="61" spans="1:10" x14ac:dyDescent="0.2">
      <c r="A61" s="5">
        <v>76</v>
      </c>
      <c r="B61" s="5">
        <v>5.6469999999999999E-2</v>
      </c>
      <c r="C61" s="42">
        <f t="shared" si="0"/>
        <v>1.41175E-2</v>
      </c>
      <c r="D61" s="11">
        <f t="shared" si="6"/>
        <v>2.9055378615200175E-2</v>
      </c>
      <c r="E61" s="43">
        <f t="shared" si="1"/>
        <v>4.5127215598641524E-2</v>
      </c>
      <c r="F61" s="34">
        <f t="shared" si="2"/>
        <v>0.95487278440135848</v>
      </c>
      <c r="H61" s="38">
        <f t="shared" si="3"/>
        <v>1.4426702835429128E-2</v>
      </c>
      <c r="I61" s="8">
        <f t="shared" si="4"/>
        <v>2.8645275916156399E-2</v>
      </c>
      <c r="J61" s="23">
        <f t="shared" si="5"/>
        <v>4.530551237458591E-2</v>
      </c>
    </row>
    <row r="62" spans="1:10" x14ac:dyDescent="0.2">
      <c r="A62" s="5">
        <v>77</v>
      </c>
      <c r="B62" s="5">
        <v>6.1679999999999999E-2</v>
      </c>
      <c r="C62" s="42">
        <f t="shared" si="0"/>
        <v>1.542E-2</v>
      </c>
      <c r="D62" s="11">
        <f t="shared" si="6"/>
        <v>3.1821371084237896E-2</v>
      </c>
      <c r="E62" s="43">
        <f t="shared" si="1"/>
        <v>4.9308311699205132E-2</v>
      </c>
      <c r="F62" s="34">
        <f t="shared" si="2"/>
        <v>0.95069168830079487</v>
      </c>
      <c r="H62" s="38">
        <f t="shared" si="3"/>
        <v>1.5790068035306248E-2</v>
      </c>
      <c r="I62" s="8">
        <f t="shared" si="4"/>
        <v>3.133080982205283E-2</v>
      </c>
      <c r="J62" s="23">
        <f t="shared" si="5"/>
        <v>4.952120126977122E-2</v>
      </c>
    </row>
    <row r="63" spans="1:10" x14ac:dyDescent="0.2">
      <c r="A63" s="5">
        <v>78</v>
      </c>
      <c r="B63" s="5">
        <v>6.7369999999999999E-2</v>
      </c>
      <c r="C63" s="42">
        <f t="shared" si="0"/>
        <v>1.68425E-2</v>
      </c>
      <c r="D63" s="11">
        <f t="shared" si="6"/>
        <v>3.4859233272794068E-2</v>
      </c>
      <c r="E63" s="43">
        <f t="shared" si="1"/>
        <v>5.3866364112704734E-2</v>
      </c>
      <c r="F63" s="34">
        <f t="shared" si="2"/>
        <v>0.94613363588729527</v>
      </c>
      <c r="H63" s="38">
        <f t="shared" si="3"/>
        <v>1.7285542543467702E-2</v>
      </c>
      <c r="I63" s="8">
        <f t="shared" si="4"/>
        <v>3.4272295105913453E-2</v>
      </c>
      <c r="J63" s="23">
        <f t="shared" si="5"/>
        <v>5.412010544568735E-2</v>
      </c>
    </row>
    <row r="64" spans="1:10" x14ac:dyDescent="0.2">
      <c r="A64" s="5">
        <v>79</v>
      </c>
      <c r="B64" s="5">
        <v>7.356E-2</v>
      </c>
      <c r="C64" s="42">
        <f t="shared" si="0"/>
        <v>1.839E-2</v>
      </c>
      <c r="D64" s="11">
        <f t="shared" si="6"/>
        <v>3.8184423080916095E-2</v>
      </c>
      <c r="E64" s="43">
        <f t="shared" si="1"/>
        <v>5.8832346559698601E-2</v>
      </c>
      <c r="F64" s="34">
        <f t="shared" si="2"/>
        <v>0.9411676534403014</v>
      </c>
      <c r="H64" s="38">
        <f t="shared" si="3"/>
        <v>1.8920221231803369E-2</v>
      </c>
      <c r="I64" s="8">
        <f t="shared" si="4"/>
        <v>3.748246769214636E-2</v>
      </c>
      <c r="J64" s="23">
        <f t="shared" si="5"/>
        <v>5.9134773485844505E-2</v>
      </c>
    </row>
    <row r="65" spans="1:10" x14ac:dyDescent="0.2">
      <c r="A65" s="5">
        <v>80</v>
      </c>
      <c r="B65" s="5">
        <v>8.0299999999999996E-2</v>
      </c>
      <c r="C65" s="42">
        <f t="shared" si="0"/>
        <v>2.0074999999999999E-2</v>
      </c>
      <c r="D65" s="11">
        <f t="shared" si="6"/>
        <v>4.1829452518622703E-2</v>
      </c>
      <c r="E65" s="43">
        <f t="shared" si="1"/>
        <v>6.4245435343566304E-2</v>
      </c>
      <c r="F65" s="34">
        <f t="shared" si="2"/>
        <v>0.9357545646564337</v>
      </c>
      <c r="H65" s="38">
        <f t="shared" si="3"/>
        <v>2.0709488404447529E-2</v>
      </c>
      <c r="I65" s="8">
        <f t="shared" si="4"/>
        <v>4.0990093898921165E-2</v>
      </c>
      <c r="J65" s="23">
        <f t="shared" si="5"/>
        <v>6.4605816818182116E-2</v>
      </c>
    </row>
    <row r="66" spans="1:10" x14ac:dyDescent="0.2">
      <c r="A66" s="5">
        <v>81</v>
      </c>
      <c r="B66" s="5">
        <v>8.7639999999999996E-2</v>
      </c>
      <c r="C66" s="42">
        <f t="shared" si="0"/>
        <v>2.1909999999999999E-2</v>
      </c>
      <c r="D66" s="11">
        <f t="shared" si="6"/>
        <v>4.5828191344725884E-2</v>
      </c>
      <c r="E66" s="43">
        <f t="shared" si="1"/>
        <v>7.0135367506181212E-2</v>
      </c>
      <c r="F66" s="34">
        <f t="shared" si="2"/>
        <v>0.92986463249381879</v>
      </c>
      <c r="H66" s="38">
        <f t="shared" si="3"/>
        <v>2.2669259376823292E-2</v>
      </c>
      <c r="I66" s="8">
        <f t="shared" si="4"/>
        <v>4.4824623432953015E-2</v>
      </c>
      <c r="J66" s="23">
        <f t="shared" si="5"/>
        <v>7.0564117965380202E-2</v>
      </c>
    </row>
    <row r="67" spans="1:10" x14ac:dyDescent="0.2">
      <c r="A67" s="5">
        <v>82</v>
      </c>
      <c r="B67" s="5">
        <v>9.5610000000000001E-2</v>
      </c>
      <c r="C67" s="42">
        <f t="shared" si="0"/>
        <v>2.39025E-2</v>
      </c>
      <c r="D67" s="11">
        <f t="shared" si="6"/>
        <v>5.0205052536507755E-2</v>
      </c>
      <c r="E67" s="43">
        <f t="shared" si="1"/>
        <v>7.6546341374082005E-2</v>
      </c>
      <c r="F67" s="34">
        <f t="shared" si="2"/>
        <v>0.92345365862591799</v>
      </c>
      <c r="H67" s="38">
        <f t="shared" si="3"/>
        <v>2.4810676536855758E-2</v>
      </c>
      <c r="I67" s="8">
        <f t="shared" si="4"/>
        <v>4.9005783403495151E-2</v>
      </c>
      <c r="J67" s="23">
        <f t="shared" si="5"/>
        <v>7.7056589118367769E-2</v>
      </c>
    </row>
    <row r="68" spans="1:10" x14ac:dyDescent="0.2">
      <c r="A68" s="5">
        <v>83</v>
      </c>
      <c r="B68" s="5">
        <v>0.10428</v>
      </c>
      <c r="C68" s="42">
        <f t="shared" si="0"/>
        <v>2.6069999999999999E-2</v>
      </c>
      <c r="D68" s="11">
        <f t="shared" si="6"/>
        <v>5.5008123562551428E-2</v>
      </c>
      <c r="E68" s="43">
        <f t="shared" si="1"/>
        <v>8.3519243428546663E-2</v>
      </c>
      <c r="F68" s="34">
        <f t="shared" si="2"/>
        <v>0.91648075657145334</v>
      </c>
      <c r="H68" s="38">
        <f t="shared" si="3"/>
        <v>2.7156306622326931E-2</v>
      </c>
      <c r="I68" s="8">
        <f t="shared" si="4"/>
        <v>5.3575148255288085E-2</v>
      </c>
      <c r="J68" s="23">
        <f t="shared" si="5"/>
        <v>8.4125657991307334E-2</v>
      </c>
    </row>
    <row r="69" spans="1:10" x14ac:dyDescent="0.2">
      <c r="A69" s="5">
        <v>84</v>
      </c>
      <c r="B69" s="5">
        <v>0.11369</v>
      </c>
      <c r="C69" s="42">
        <f t="shared" si="0"/>
        <v>2.84225E-2</v>
      </c>
      <c r="D69" s="11">
        <f t="shared" si="6"/>
        <v>6.0271111323165337E-2</v>
      </c>
      <c r="E69" s="43">
        <f t="shared" si="1"/>
        <v>9.1092174980117124E-2</v>
      </c>
      <c r="F69" s="34">
        <f t="shared" si="2"/>
        <v>0.90890782501988288</v>
      </c>
      <c r="H69" s="38">
        <f t="shared" si="3"/>
        <v>2.9721490605970846E-2</v>
      </c>
      <c r="I69" s="8">
        <f t="shared" si="4"/>
        <v>5.8559614208100741E-2</v>
      </c>
      <c r="J69" s="23">
        <f t="shared" si="5"/>
        <v>9.1812058879804037E-2</v>
      </c>
    </row>
    <row r="70" spans="1:10" x14ac:dyDescent="0.2">
      <c r="A70" s="5">
        <v>85</v>
      </c>
      <c r="B70" s="5">
        <v>0.12389</v>
      </c>
      <c r="C70" s="42">
        <f t="shared" ref="C70:C95" si="7">B70*0.25</f>
        <v>3.09725E-2</v>
      </c>
      <c r="D70" s="11">
        <f t="shared" si="6"/>
        <v>6.6035573607091266E-2</v>
      </c>
      <c r="E70" s="43">
        <f t="shared" ref="E70:E95" si="8">1-F70</f>
        <v>9.9311409601662515E-2</v>
      </c>
      <c r="F70" s="34">
        <f t="shared" ref="F70:F95" si="9">(1-0.25*B70/(1-0.75*B70))*(1-0.5*B71)</f>
        <v>0.90068859039833749</v>
      </c>
      <c r="H70" s="38">
        <f t="shared" ref="H70:H95" si="10">1-(1-B70)^0.25</f>
        <v>3.2525205184857686E-2</v>
      </c>
      <c r="I70" s="8">
        <f t="shared" ref="I70:I95" si="11">1-(1-B70)^0.5</f>
        <v>6.3992521397398305E-2</v>
      </c>
      <c r="J70" s="23">
        <f t="shared" ref="J70:J95" si="12">1-((1-B70)^0.25)*((1-B71)^0.5)</f>
        <v>0.10016522103223491</v>
      </c>
    </row>
    <row r="71" spans="1:10" x14ac:dyDescent="0.2">
      <c r="A71" s="5">
        <v>86</v>
      </c>
      <c r="B71" s="5">
        <v>0.13494</v>
      </c>
      <c r="C71" s="42">
        <f t="shared" si="7"/>
        <v>3.3735000000000001E-2</v>
      </c>
      <c r="D71" s="11">
        <f t="shared" ref="D71:D95" si="13">B71*0.5/(1-0.5*B71)</f>
        <v>7.2351559735343643E-2</v>
      </c>
      <c r="E71" s="43">
        <f t="shared" si="8"/>
        <v>0.10822193236499977</v>
      </c>
      <c r="F71" s="34">
        <f t="shared" si="9"/>
        <v>0.89177806763500023</v>
      </c>
      <c r="H71" s="38">
        <f t="shared" si="10"/>
        <v>3.5590326921483451E-2</v>
      </c>
      <c r="I71" s="8">
        <f t="shared" si="11"/>
        <v>6.9913982472588732E-2</v>
      </c>
      <c r="J71" s="23">
        <f t="shared" si="12"/>
        <v>0.10923309310863494</v>
      </c>
    </row>
    <row r="72" spans="1:10" x14ac:dyDescent="0.2">
      <c r="A72" s="5">
        <v>87</v>
      </c>
      <c r="B72" s="5">
        <v>0.14688999999999999</v>
      </c>
      <c r="C72" s="42">
        <f t="shared" si="7"/>
        <v>3.6722499999999998E-2</v>
      </c>
      <c r="D72" s="11">
        <f t="shared" si="13"/>
        <v>7.9266746172650296E-2</v>
      </c>
      <c r="E72" s="43">
        <f t="shared" si="8"/>
        <v>0.11787640319947856</v>
      </c>
      <c r="F72" s="34">
        <f t="shared" si="9"/>
        <v>0.88212359680052144</v>
      </c>
      <c r="H72" s="38">
        <f t="shared" si="10"/>
        <v>3.8938326598944806E-2</v>
      </c>
      <c r="I72" s="8">
        <f t="shared" si="11"/>
        <v>7.6360459919563639E-2</v>
      </c>
      <c r="J72" s="23">
        <f t="shared" si="12"/>
        <v>0.11907281505212819</v>
      </c>
    </row>
    <row r="73" spans="1:10" x14ac:dyDescent="0.2">
      <c r="A73" s="5">
        <v>88</v>
      </c>
      <c r="B73" s="5">
        <v>0.15981000000000001</v>
      </c>
      <c r="C73" s="42">
        <f t="shared" si="7"/>
        <v>3.9952500000000002E-2</v>
      </c>
      <c r="D73" s="11">
        <f t="shared" si="13"/>
        <v>8.6844293252327204E-2</v>
      </c>
      <c r="E73" s="43">
        <f t="shared" si="8"/>
        <v>0.12832468179868606</v>
      </c>
      <c r="F73" s="34">
        <f t="shared" si="9"/>
        <v>0.87167531820131394</v>
      </c>
      <c r="H73" s="38">
        <f t="shared" si="10"/>
        <v>4.2597897104704296E-2</v>
      </c>
      <c r="I73" s="8">
        <f t="shared" si="11"/>
        <v>8.3381213371665597E-2</v>
      </c>
      <c r="J73" s="23">
        <f t="shared" si="12"/>
        <v>0.12973781395968875</v>
      </c>
    </row>
    <row r="74" spans="1:10" x14ac:dyDescent="0.2">
      <c r="A74" s="5">
        <v>89</v>
      </c>
      <c r="B74" s="5">
        <v>0.17374999999999999</v>
      </c>
      <c r="C74" s="42">
        <f t="shared" si="7"/>
        <v>4.3437499999999997E-2</v>
      </c>
      <c r="D74" s="11">
        <f t="shared" si="13"/>
        <v>9.5140314852840524E-2</v>
      </c>
      <c r="E74" s="43">
        <f t="shared" si="8"/>
        <v>0.13961693855551549</v>
      </c>
      <c r="F74" s="34">
        <f t="shared" si="9"/>
        <v>0.86038306144448451</v>
      </c>
      <c r="H74" s="38">
        <f t="shared" si="10"/>
        <v>4.6594027638334867E-2</v>
      </c>
      <c r="I74" s="8">
        <f t="shared" si="11"/>
        <v>9.101705186510789E-2</v>
      </c>
      <c r="J74" s="23">
        <f t="shared" si="12"/>
        <v>0.14128337793223744</v>
      </c>
    </row>
    <row r="75" spans="1:10" x14ac:dyDescent="0.2">
      <c r="A75" s="5">
        <v>90</v>
      </c>
      <c r="B75" s="5">
        <v>0.18876999999999999</v>
      </c>
      <c r="C75" s="42">
        <f t="shared" si="7"/>
        <v>4.7192499999999998E-2</v>
      </c>
      <c r="D75" s="11">
        <f t="shared" si="13"/>
        <v>0.10422199278943038</v>
      </c>
      <c r="E75" s="43">
        <f t="shared" si="8"/>
        <v>0.15180774263256147</v>
      </c>
      <c r="F75" s="34">
        <f t="shared" si="9"/>
        <v>0.84819225736743853</v>
      </c>
      <c r="H75" s="38">
        <f t="shared" si="10"/>
        <v>5.0956758563379001E-2</v>
      </c>
      <c r="I75" s="8">
        <f t="shared" si="11"/>
        <v>9.9316925883471519E-2</v>
      </c>
      <c r="J75" s="23">
        <f t="shared" si="12"/>
        <v>0.15376948073363117</v>
      </c>
    </row>
    <row r="76" spans="1:10" x14ac:dyDescent="0.2">
      <c r="A76" s="5">
        <v>91</v>
      </c>
      <c r="B76" s="5">
        <v>0.20493</v>
      </c>
      <c r="C76" s="42">
        <f t="shared" si="7"/>
        <v>5.12325E-2</v>
      </c>
      <c r="D76" s="11">
        <f t="shared" si="13"/>
        <v>0.11416267889274513</v>
      </c>
      <c r="E76" s="43">
        <f t="shared" si="8"/>
        <v>0.16494410030692341</v>
      </c>
      <c r="F76" s="34">
        <f t="shared" si="9"/>
        <v>0.83505589969307659</v>
      </c>
      <c r="H76" s="38">
        <f t="shared" si="10"/>
        <v>5.5718803431365593E-2</v>
      </c>
      <c r="I76" s="8">
        <f t="shared" si="11"/>
        <v>0.10833302180690807</v>
      </c>
      <c r="J76" s="23">
        <f t="shared" si="12"/>
        <v>0.16724784062116449</v>
      </c>
    </row>
    <row r="77" spans="1:10" x14ac:dyDescent="0.2">
      <c r="A77" s="5">
        <v>92</v>
      </c>
      <c r="B77" s="5">
        <v>0.22227</v>
      </c>
      <c r="C77" s="42">
        <f t="shared" si="7"/>
        <v>5.5567499999999999E-2</v>
      </c>
      <c r="D77" s="11">
        <f t="shared" si="13"/>
        <v>0.12503023518757067</v>
      </c>
      <c r="E77" s="43">
        <f t="shared" si="8"/>
        <v>0.17908312925455805</v>
      </c>
      <c r="F77" s="34">
        <f t="shared" si="9"/>
        <v>0.82091687074544195</v>
      </c>
      <c r="H77" s="38">
        <f t="shared" si="10"/>
        <v>6.0910006539150019E-2</v>
      </c>
      <c r="I77" s="8">
        <f t="shared" si="11"/>
        <v>0.11810998418170082</v>
      </c>
      <c r="J77" s="23">
        <f t="shared" si="12"/>
        <v>0.18178365537695118</v>
      </c>
    </row>
    <row r="78" spans="1:10" x14ac:dyDescent="0.2">
      <c r="A78" s="5">
        <v>93</v>
      </c>
      <c r="B78" s="5">
        <v>0.24085999999999999</v>
      </c>
      <c r="C78" s="42">
        <f t="shared" si="7"/>
        <v>6.0214999999999998E-2</v>
      </c>
      <c r="D78" s="11">
        <f t="shared" si="13"/>
        <v>0.13691917641574861</v>
      </c>
      <c r="E78" s="43">
        <f t="shared" si="8"/>
        <v>0.19427511408363907</v>
      </c>
      <c r="F78" s="34">
        <f t="shared" si="9"/>
        <v>0.80572488591636093</v>
      </c>
      <c r="H78" s="38">
        <f t="shared" si="10"/>
        <v>6.6572763807898006E-2</v>
      </c>
      <c r="I78" s="8">
        <f t="shared" si="11"/>
        <v>0.12871359473477373</v>
      </c>
      <c r="J78" s="23">
        <f t="shared" si="12"/>
        <v>0.19743168463960414</v>
      </c>
    </row>
    <row r="79" spans="1:10" x14ac:dyDescent="0.2">
      <c r="A79" s="5">
        <v>94</v>
      </c>
      <c r="B79" s="5">
        <v>0.26073000000000002</v>
      </c>
      <c r="C79" s="42">
        <f t="shared" si="7"/>
        <v>6.5182500000000004E-2</v>
      </c>
      <c r="D79" s="11">
        <f t="shared" si="13"/>
        <v>0.1499077199054776</v>
      </c>
      <c r="E79" s="43">
        <f t="shared" si="8"/>
        <v>0.21056097513526273</v>
      </c>
      <c r="F79" s="34">
        <f t="shared" si="9"/>
        <v>0.78943902486473727</v>
      </c>
      <c r="H79" s="38">
        <f t="shared" si="10"/>
        <v>7.2741611993350386E-2</v>
      </c>
      <c r="I79" s="8">
        <f t="shared" si="11"/>
        <v>0.1401918818713096</v>
      </c>
      <c r="J79" s="23">
        <f t="shared" si="12"/>
        <v>0.21423946933748883</v>
      </c>
    </row>
    <row r="80" spans="1:10" x14ac:dyDescent="0.2">
      <c r="A80" s="5">
        <v>95</v>
      </c>
      <c r="B80" s="5">
        <v>0.28190999999999999</v>
      </c>
      <c r="C80" s="42">
        <f t="shared" si="7"/>
        <v>7.0477499999999998E-2</v>
      </c>
      <c r="D80" s="11">
        <f t="shared" si="13"/>
        <v>0.16408337165107764</v>
      </c>
      <c r="E80" s="43">
        <f t="shared" si="8"/>
        <v>0.22799411622974575</v>
      </c>
      <c r="F80" s="34">
        <f t="shared" si="9"/>
        <v>0.77200588377025425</v>
      </c>
      <c r="H80" s="38">
        <f t="shared" si="10"/>
        <v>7.9455643802080922E-2</v>
      </c>
      <c r="I80" s="8">
        <f t="shared" si="11"/>
        <v>0.15259808827215882</v>
      </c>
      <c r="J80" s="23">
        <f t="shared" si="12"/>
        <v>0.23226931824871033</v>
      </c>
    </row>
    <row r="81" spans="1:10" x14ac:dyDescent="0.2">
      <c r="A81" s="5">
        <v>96</v>
      </c>
      <c r="B81" s="5">
        <v>0.30445</v>
      </c>
      <c r="C81" s="42">
        <f t="shared" si="7"/>
        <v>7.61125E-2</v>
      </c>
      <c r="D81" s="11">
        <f t="shared" si="13"/>
        <v>0.17955825543334022</v>
      </c>
      <c r="E81" s="43">
        <f t="shared" si="8"/>
        <v>0.24661162554873406</v>
      </c>
      <c r="F81" s="34">
        <f t="shared" si="9"/>
        <v>0.75338837445126594</v>
      </c>
      <c r="H81" s="38">
        <f t="shared" si="10"/>
        <v>8.6765964897310477E-2</v>
      </c>
      <c r="I81" s="8">
        <f t="shared" si="11"/>
        <v>0.16600359713005952</v>
      </c>
      <c r="J81" s="23">
        <f t="shared" si="12"/>
        <v>0.251560273668197</v>
      </c>
    </row>
    <row r="82" spans="1:10" x14ac:dyDescent="0.2">
      <c r="A82" s="5">
        <v>97</v>
      </c>
      <c r="B82" s="5">
        <v>0.32834000000000002</v>
      </c>
      <c r="C82" s="42">
        <f t="shared" si="7"/>
        <v>8.2085000000000005E-2</v>
      </c>
      <c r="D82" s="11">
        <f t="shared" si="13"/>
        <v>0.19641553904502113</v>
      </c>
      <c r="E82" s="43">
        <f t="shared" si="8"/>
        <v>0.26644884941193647</v>
      </c>
      <c r="F82" s="34">
        <f t="shared" si="9"/>
        <v>0.73355115058806353</v>
      </c>
      <c r="H82" s="38">
        <f t="shared" si="10"/>
        <v>9.4710733370994116E-2</v>
      </c>
      <c r="I82" s="8">
        <f t="shared" si="11"/>
        <v>0.18045134372631666</v>
      </c>
      <c r="J82" s="23">
        <f t="shared" si="12"/>
        <v>0.27215643753941954</v>
      </c>
    </row>
    <row r="83" spans="1:10" x14ac:dyDescent="0.2">
      <c r="A83" s="5">
        <v>98</v>
      </c>
      <c r="B83" s="5">
        <v>0.35360000000000003</v>
      </c>
      <c r="C83" s="42">
        <f t="shared" si="7"/>
        <v>8.8400000000000006E-2</v>
      </c>
      <c r="D83" s="11">
        <f t="shared" si="13"/>
        <v>0.21477162293488827</v>
      </c>
      <c r="E83" s="43">
        <f t="shared" si="8"/>
        <v>0.28753489384866626</v>
      </c>
      <c r="F83" s="34">
        <f t="shared" si="9"/>
        <v>0.71246510615133374</v>
      </c>
      <c r="H83" s="38">
        <f t="shared" si="10"/>
        <v>0.10334507769729429</v>
      </c>
      <c r="I83" s="8">
        <f t="shared" si="11"/>
        <v>0.19600995031032875</v>
      </c>
      <c r="J83" s="23">
        <f t="shared" si="12"/>
        <v>0.294087092625685</v>
      </c>
    </row>
    <row r="84" spans="1:10" x14ac:dyDescent="0.2">
      <c r="A84" s="5">
        <v>99</v>
      </c>
      <c r="B84" s="5">
        <v>0.38019999999999998</v>
      </c>
      <c r="C84" s="42">
        <f t="shared" si="7"/>
        <v>9.5049999999999996E-2</v>
      </c>
      <c r="D84" s="11">
        <f t="shared" si="13"/>
        <v>0.23472033584393132</v>
      </c>
      <c r="E84" s="43">
        <f t="shared" si="8"/>
        <v>0.30989212841854941</v>
      </c>
      <c r="F84" s="34">
        <f t="shared" si="9"/>
        <v>0.69010787158145059</v>
      </c>
      <c r="H84" s="38">
        <f t="shared" si="10"/>
        <v>0.11271550389371565</v>
      </c>
      <c r="I84" s="8">
        <f t="shared" si="11"/>
        <v>0.21272622296941701</v>
      </c>
      <c r="J84" s="23">
        <f t="shared" si="12"/>
        <v>0.31737887291055711</v>
      </c>
    </row>
    <row r="85" spans="1:10" x14ac:dyDescent="0.2">
      <c r="A85" s="5">
        <v>100</v>
      </c>
      <c r="B85" s="5">
        <v>0.40811999999999998</v>
      </c>
      <c r="C85" s="42">
        <f t="shared" si="7"/>
        <v>0.10203</v>
      </c>
      <c r="D85" s="11">
        <f t="shared" si="13"/>
        <v>0.25637610875191597</v>
      </c>
      <c r="E85" s="43">
        <f t="shared" si="8"/>
        <v>0.33352832961046819</v>
      </c>
      <c r="F85" s="34">
        <f t="shared" si="9"/>
        <v>0.66647167038953181</v>
      </c>
      <c r="H85" s="38">
        <f t="shared" si="10"/>
        <v>0.12288120688930493</v>
      </c>
      <c r="I85" s="8">
        <f t="shared" si="11"/>
        <v>0.23066262277203775</v>
      </c>
      <c r="J85" s="23">
        <f t="shared" si="12"/>
        <v>0.3420322736533965</v>
      </c>
    </row>
    <row r="86" spans="1:10" x14ac:dyDescent="0.2">
      <c r="A86" s="5">
        <v>101</v>
      </c>
      <c r="B86" s="5">
        <v>0.43728</v>
      </c>
      <c r="C86" s="42">
        <f t="shared" si="7"/>
        <v>0.10932</v>
      </c>
      <c r="D86" s="11">
        <f t="shared" si="13"/>
        <v>0.27981980137196683</v>
      </c>
      <c r="E86" s="43">
        <f t="shared" si="8"/>
        <v>0.3584410892208798</v>
      </c>
      <c r="F86" s="34">
        <f t="shared" si="9"/>
        <v>0.6415589107791202</v>
      </c>
      <c r="H86" s="38">
        <f t="shared" si="10"/>
        <v>0.13388993059269327</v>
      </c>
      <c r="I86" s="8">
        <f t="shared" si="11"/>
        <v>0.24985334767127032</v>
      </c>
      <c r="J86" s="23">
        <f t="shared" si="12"/>
        <v>0.36804226705159127</v>
      </c>
    </row>
    <row r="87" spans="1:10" x14ac:dyDescent="0.2">
      <c r="A87" s="5">
        <v>102</v>
      </c>
      <c r="B87" s="5">
        <v>0.46761000000000003</v>
      </c>
      <c r="C87" s="42">
        <f t="shared" si="7"/>
        <v>0.11690250000000001</v>
      </c>
      <c r="D87" s="11">
        <f t="shared" si="13"/>
        <v>0.30515077754357578</v>
      </c>
      <c r="E87" s="43">
        <f t="shared" si="8"/>
        <v>0.38462040305409351</v>
      </c>
      <c r="F87" s="34">
        <f t="shared" si="9"/>
        <v>0.61537959694590649</v>
      </c>
      <c r="H87" s="38">
        <f t="shared" si="10"/>
        <v>0.1458041200547433</v>
      </c>
      <c r="I87" s="8">
        <f t="shared" si="11"/>
        <v>0.27034939868454855</v>
      </c>
      <c r="J87" s="23">
        <f t="shared" si="12"/>
        <v>0.39538256081630074</v>
      </c>
    </row>
    <row r="88" spans="1:10" x14ac:dyDescent="0.2">
      <c r="A88" s="5">
        <v>103</v>
      </c>
      <c r="B88" s="5">
        <v>0.49898999999999999</v>
      </c>
      <c r="C88" s="42">
        <f t="shared" si="7"/>
        <v>0.1247475</v>
      </c>
      <c r="D88" s="11">
        <f t="shared" si="13"/>
        <v>0.33243615965250067</v>
      </c>
      <c r="E88" s="43">
        <f t="shared" si="8"/>
        <v>0.41203788432419908</v>
      </c>
      <c r="F88" s="34">
        <f t="shared" si="9"/>
        <v>0.58796211567580092</v>
      </c>
      <c r="H88" s="38">
        <f t="shared" si="10"/>
        <v>0.15867925335248068</v>
      </c>
      <c r="I88" s="8">
        <f t="shared" si="11"/>
        <v>0.29217940126046071</v>
      </c>
      <c r="J88" s="23">
        <f t="shared" si="12"/>
        <v>0.42400549391405051</v>
      </c>
    </row>
    <row r="89" spans="1:10" x14ac:dyDescent="0.2">
      <c r="A89" s="5">
        <v>104</v>
      </c>
      <c r="B89" s="5">
        <v>0.53127999999999997</v>
      </c>
      <c r="C89" s="42">
        <f t="shared" si="7"/>
        <v>0.13281999999999999</v>
      </c>
      <c r="D89" s="11">
        <f t="shared" si="13"/>
        <v>0.36172994171795847</v>
      </c>
      <c r="E89" s="43">
        <f t="shared" si="8"/>
        <v>0.44064734581241483</v>
      </c>
      <c r="F89" s="34">
        <f t="shared" si="9"/>
        <v>0.55935265418758517</v>
      </c>
      <c r="H89" s="38">
        <f t="shared" si="10"/>
        <v>0.17257550940970823</v>
      </c>
      <c r="I89" s="8">
        <f t="shared" si="11"/>
        <v>0.31536871237139619</v>
      </c>
      <c r="J89" s="23">
        <f t="shared" si="12"/>
        <v>0.45383088852200815</v>
      </c>
    </row>
    <row r="90" spans="1:10" x14ac:dyDescent="0.2">
      <c r="A90" s="5">
        <v>105</v>
      </c>
      <c r="B90" s="5">
        <v>0.56428999999999996</v>
      </c>
      <c r="C90" s="42">
        <f t="shared" si="7"/>
        <v>0.14107249999999999</v>
      </c>
      <c r="D90" s="11">
        <f t="shared" si="13"/>
        <v>0.39303898419597266</v>
      </c>
      <c r="E90" s="43">
        <f t="shared" si="8"/>
        <v>0.47039005977123094</v>
      </c>
      <c r="F90" s="34">
        <f t="shared" si="9"/>
        <v>0.52960994022876906</v>
      </c>
      <c r="H90" s="38">
        <f t="shared" si="10"/>
        <v>0.18754487627127692</v>
      </c>
      <c r="I90" s="8">
        <f t="shared" si="11"/>
        <v>0.33991667192694519</v>
      </c>
      <c r="J90" s="23">
        <f t="shared" si="12"/>
        <v>0.4847663519808314</v>
      </c>
    </row>
    <row r="91" spans="1:10" x14ac:dyDescent="0.2">
      <c r="A91" s="5">
        <v>106</v>
      </c>
      <c r="B91" s="5">
        <v>0.59782999999999997</v>
      </c>
      <c r="C91" s="42">
        <f t="shared" si="7"/>
        <v>0.14945749999999999</v>
      </c>
      <c r="D91" s="11">
        <f t="shared" si="13"/>
        <v>0.42636056968841152</v>
      </c>
      <c r="E91" s="43">
        <f t="shared" si="8"/>
        <v>0.50119116505250372</v>
      </c>
      <c r="F91" s="34">
        <f t="shared" si="9"/>
        <v>0.49880883494749628</v>
      </c>
      <c r="H91" s="38">
        <f t="shared" si="10"/>
        <v>0.2036528726372141</v>
      </c>
      <c r="I91" s="8">
        <f t="shared" si="11"/>
        <v>0.36583125274103889</v>
      </c>
      <c r="J91" s="23">
        <f t="shared" si="12"/>
        <v>0.51667567851357732</v>
      </c>
    </row>
    <row r="92" spans="1:10" x14ac:dyDescent="0.2">
      <c r="A92" s="5">
        <v>107</v>
      </c>
      <c r="B92" s="5">
        <v>0.63163999999999998</v>
      </c>
      <c r="C92" s="42">
        <f t="shared" si="7"/>
        <v>0.15790999999999999</v>
      </c>
      <c r="D92" s="11">
        <f t="shared" si="13"/>
        <v>0.46160367154842291</v>
      </c>
      <c r="E92" s="43">
        <f t="shared" si="8"/>
        <v>0.53294427005149447</v>
      </c>
      <c r="F92" s="34">
        <f t="shared" si="9"/>
        <v>0.46705572994850553</v>
      </c>
      <c r="H92" s="38">
        <f t="shared" si="10"/>
        <v>0.22094500566074438</v>
      </c>
      <c r="I92" s="8">
        <f t="shared" si="11"/>
        <v>0.39307331579506244</v>
      </c>
      <c r="J92" s="23">
        <f t="shared" si="12"/>
        <v>0.54939227458823803</v>
      </c>
    </row>
    <row r="93" spans="1:10" x14ac:dyDescent="0.2">
      <c r="A93" s="5">
        <v>108</v>
      </c>
      <c r="B93" s="5">
        <v>0.66544999999999999</v>
      </c>
      <c r="C93" s="42">
        <f t="shared" si="7"/>
        <v>0.1663625</v>
      </c>
      <c r="D93" s="11">
        <f t="shared" si="13"/>
        <v>0.49863249784571573</v>
      </c>
      <c r="E93" s="43">
        <f t="shared" si="8"/>
        <v>0.56549992114391234</v>
      </c>
      <c r="F93" s="34">
        <f t="shared" si="9"/>
        <v>0.43450007885608766</v>
      </c>
      <c r="H93" s="38">
        <f t="shared" si="10"/>
        <v>0.23947191129257805</v>
      </c>
      <c r="I93" s="8">
        <f t="shared" si="11"/>
        <v>0.42159702628703577</v>
      </c>
      <c r="J93" s="23">
        <f t="shared" si="12"/>
        <v>0.58265782926454102</v>
      </c>
    </row>
    <row r="94" spans="1:10" x14ac:dyDescent="0.2">
      <c r="A94" s="5">
        <v>109</v>
      </c>
      <c r="B94" s="5">
        <v>0.69886999999999999</v>
      </c>
      <c r="C94" s="42">
        <f t="shared" si="7"/>
        <v>0.1747175</v>
      </c>
      <c r="D94" s="11">
        <f t="shared" si="13"/>
        <v>0.53712542174878752</v>
      </c>
      <c r="E94" s="43">
        <f t="shared" si="8"/>
        <v>0.59874541013665095</v>
      </c>
      <c r="F94" s="34">
        <f t="shared" si="9"/>
        <v>0.40125458986334911</v>
      </c>
      <c r="H94" s="38">
        <f t="shared" si="10"/>
        <v>0.25922126643004084</v>
      </c>
      <c r="I94" s="8">
        <f t="shared" si="11"/>
        <v>0.45124686789048751</v>
      </c>
      <c r="J94" s="23">
        <f t="shared" si="12"/>
        <v>0.61641535834639627</v>
      </c>
    </row>
    <row r="95" spans="1:10" x14ac:dyDescent="0.2">
      <c r="A95" s="5">
        <v>110</v>
      </c>
      <c r="B95" s="5">
        <v>0.73187000000000002</v>
      </c>
      <c r="C95" s="44">
        <f t="shared" si="7"/>
        <v>0.18296750000000001</v>
      </c>
      <c r="D95" s="12">
        <f t="shared" si="13"/>
        <v>0.5771253735815729</v>
      </c>
      <c r="E95" s="45">
        <f t="shared" si="8"/>
        <v>0.40560521838405228</v>
      </c>
      <c r="F95" s="34">
        <f t="shared" si="9"/>
        <v>0.59439478161594772</v>
      </c>
      <c r="H95" s="39">
        <f t="shared" si="10"/>
        <v>0.28040795762238513</v>
      </c>
      <c r="I95" s="9">
        <f t="shared" si="11"/>
        <v>0.48218729254681281</v>
      </c>
      <c r="J95" s="26">
        <f t="shared" si="12"/>
        <v>0.28040795762238513</v>
      </c>
    </row>
  </sheetData>
  <pageMargins left="0.75" right="0.75" top="1" bottom="1" header="0.5" footer="0.5"/>
  <pageSetup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C35"/>
  <sheetViews>
    <sheetView topLeftCell="B1" workbookViewId="0">
      <selection activeCell="G25" sqref="G25"/>
    </sheetView>
  </sheetViews>
  <sheetFormatPr baseColWidth="10" defaultRowHeight="16" x14ac:dyDescent="0.2"/>
  <cols>
    <col min="3" max="3" width="14" customWidth="1"/>
  </cols>
  <sheetData>
    <row r="1" spans="1:3" x14ac:dyDescent="0.2">
      <c r="A1" s="117" t="s">
        <v>63</v>
      </c>
      <c r="B1" s="117"/>
      <c r="C1" s="117"/>
    </row>
    <row r="2" spans="1:3" x14ac:dyDescent="0.2">
      <c r="C2" t="s">
        <v>46</v>
      </c>
    </row>
    <row r="3" spans="1:3" x14ac:dyDescent="0.2">
      <c r="A3">
        <v>1</v>
      </c>
      <c r="B3" s="47">
        <v>1.1000000000000001</v>
      </c>
    </row>
    <row r="4" spans="1:3" x14ac:dyDescent="0.2">
      <c r="B4" s="48" t="s">
        <v>43</v>
      </c>
      <c r="C4">
        <v>2</v>
      </c>
    </row>
    <row r="5" spans="1:3" x14ac:dyDescent="0.2">
      <c r="B5" s="48" t="s">
        <v>44</v>
      </c>
      <c r="C5">
        <v>2</v>
      </c>
    </row>
    <row r="6" spans="1:3" x14ac:dyDescent="0.2">
      <c r="B6" s="48" t="s">
        <v>45</v>
      </c>
      <c r="C6">
        <v>2</v>
      </c>
    </row>
    <row r="7" spans="1:3" x14ac:dyDescent="0.2">
      <c r="B7" s="47">
        <v>1.2</v>
      </c>
      <c r="C7">
        <v>2</v>
      </c>
    </row>
    <row r="8" spans="1:3" x14ac:dyDescent="0.2">
      <c r="B8" s="47">
        <v>1.3</v>
      </c>
      <c r="C8">
        <v>2</v>
      </c>
    </row>
    <row r="9" spans="1:3" x14ac:dyDescent="0.2">
      <c r="A9" s="49" t="s">
        <v>52</v>
      </c>
      <c r="B9" s="49"/>
      <c r="C9" s="49">
        <f>SUM(C4:C8)</f>
        <v>10</v>
      </c>
    </row>
    <row r="11" spans="1:3" x14ac:dyDescent="0.2">
      <c r="A11">
        <v>2</v>
      </c>
      <c r="B11" s="47">
        <v>2.1</v>
      </c>
      <c r="C11">
        <v>4</v>
      </c>
    </row>
    <row r="12" spans="1:3" x14ac:dyDescent="0.2">
      <c r="B12" s="47">
        <v>2.2000000000000002</v>
      </c>
    </row>
    <row r="13" spans="1:3" x14ac:dyDescent="0.2">
      <c r="B13" s="48" t="s">
        <v>47</v>
      </c>
      <c r="C13">
        <v>3</v>
      </c>
    </row>
    <row r="14" spans="1:3" x14ac:dyDescent="0.2">
      <c r="B14" s="48" t="s">
        <v>48</v>
      </c>
      <c r="C14">
        <v>3</v>
      </c>
    </row>
    <row r="15" spans="1:3" x14ac:dyDescent="0.2">
      <c r="A15" s="49" t="s">
        <v>53</v>
      </c>
      <c r="B15" s="50"/>
      <c r="C15" s="49">
        <f>SUM(C11:C14)</f>
        <v>10</v>
      </c>
    </row>
    <row r="17" spans="1:3" x14ac:dyDescent="0.2">
      <c r="A17">
        <v>3</v>
      </c>
      <c r="B17" s="47">
        <v>3.1</v>
      </c>
      <c r="C17">
        <v>3</v>
      </c>
    </row>
    <row r="18" spans="1:3" x14ac:dyDescent="0.2">
      <c r="B18" s="47">
        <v>3.2</v>
      </c>
    </row>
    <row r="19" spans="1:3" x14ac:dyDescent="0.2">
      <c r="B19" s="48" t="s">
        <v>49</v>
      </c>
      <c r="C19">
        <v>2</v>
      </c>
    </row>
    <row r="20" spans="1:3" x14ac:dyDescent="0.2">
      <c r="B20" s="48" t="s">
        <v>50</v>
      </c>
      <c r="C20">
        <v>2</v>
      </c>
    </row>
    <row r="21" spans="1:3" x14ac:dyDescent="0.2">
      <c r="B21" s="48" t="s">
        <v>51</v>
      </c>
      <c r="C21">
        <v>3</v>
      </c>
    </row>
    <row r="22" spans="1:3" x14ac:dyDescent="0.2">
      <c r="A22" s="49" t="s">
        <v>54</v>
      </c>
      <c r="B22" s="49"/>
      <c r="C22" s="49">
        <f>SUM(C17:C21)</f>
        <v>10</v>
      </c>
    </row>
    <row r="24" spans="1:3" x14ac:dyDescent="0.2">
      <c r="A24">
        <v>4</v>
      </c>
      <c r="B24" s="47">
        <v>4.0999999999999996</v>
      </c>
    </row>
    <row r="25" spans="1:3" x14ac:dyDescent="0.2">
      <c r="B25" s="48" t="s">
        <v>55</v>
      </c>
      <c r="C25">
        <v>1</v>
      </c>
    </row>
    <row r="26" spans="1:3" x14ac:dyDescent="0.2">
      <c r="B26" s="48" t="s">
        <v>56</v>
      </c>
      <c r="C26">
        <v>2</v>
      </c>
    </row>
    <row r="27" spans="1:3" x14ac:dyDescent="0.2">
      <c r="B27" s="48" t="s">
        <v>57</v>
      </c>
      <c r="C27">
        <v>2</v>
      </c>
    </row>
    <row r="28" spans="1:3" x14ac:dyDescent="0.2">
      <c r="B28" s="47">
        <v>4.2</v>
      </c>
    </row>
    <row r="29" spans="1:3" x14ac:dyDescent="0.2">
      <c r="B29" s="48" t="s">
        <v>58</v>
      </c>
      <c r="C29">
        <v>1</v>
      </c>
    </row>
    <row r="30" spans="1:3" x14ac:dyDescent="0.2">
      <c r="B30" s="48" t="s">
        <v>59</v>
      </c>
      <c r="C30">
        <v>2</v>
      </c>
    </row>
    <row r="31" spans="1:3" x14ac:dyDescent="0.2">
      <c r="B31" s="48" t="s">
        <v>60</v>
      </c>
      <c r="C31">
        <v>2</v>
      </c>
    </row>
    <row r="32" spans="1:3" x14ac:dyDescent="0.2">
      <c r="A32" s="49" t="s">
        <v>61</v>
      </c>
      <c r="C32" s="49">
        <f>SUM(C25:C31)</f>
        <v>10</v>
      </c>
    </row>
    <row r="35" spans="1:3" x14ac:dyDescent="0.2">
      <c r="A35" s="2" t="s">
        <v>62</v>
      </c>
      <c r="B35" s="2"/>
      <c r="C35" s="2">
        <f>C9+C15+C22+C32</f>
        <v>40</v>
      </c>
    </row>
  </sheetData>
  <mergeCells count="1">
    <mergeCell ref="A1:C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DN97"/>
  <sheetViews>
    <sheetView workbookViewId="0">
      <selection activeCell="U1" sqref="T1:U1048576"/>
    </sheetView>
  </sheetViews>
  <sheetFormatPr baseColWidth="10" defaultRowHeight="16" x14ac:dyDescent="0.2"/>
  <cols>
    <col min="11" max="11" width="14.83203125" customWidth="1"/>
    <col min="12" max="12" width="15.5" customWidth="1"/>
    <col min="13" max="13" width="15" customWidth="1"/>
    <col min="14" max="14" width="3.83203125" customWidth="1"/>
    <col min="17" max="17" width="3.1640625" customWidth="1"/>
    <col min="18" max="18" width="11.83203125" bestFit="1" customWidth="1"/>
    <col min="21" max="21" width="9.1640625" customWidth="1"/>
    <col min="22" max="23" width="12.1640625" bestFit="1" customWidth="1"/>
  </cols>
  <sheetData>
    <row r="1" spans="1:118" x14ac:dyDescent="0.2">
      <c r="B1" s="2"/>
      <c r="K1" t="s">
        <v>68</v>
      </c>
      <c r="AB1">
        <f>SUMPRODUCT(Y7:Y97,Z7:Z97,AB6:AB96)</f>
        <v>0</v>
      </c>
    </row>
    <row r="2" spans="1:118" x14ac:dyDescent="0.2">
      <c r="A2" t="s">
        <v>71</v>
      </c>
      <c r="C2">
        <v>0.05</v>
      </c>
      <c r="E2" t="s">
        <v>13</v>
      </c>
      <c r="K2" t="s">
        <v>78</v>
      </c>
      <c r="L2" t="s">
        <v>79</v>
      </c>
      <c r="M2" t="s">
        <v>80</v>
      </c>
      <c r="R2">
        <v>5.2</v>
      </c>
    </row>
    <row r="3" spans="1:118" x14ac:dyDescent="0.2">
      <c r="G3" t="s">
        <v>92</v>
      </c>
      <c r="K3" t="s">
        <v>66</v>
      </c>
      <c r="L3" t="s">
        <v>67</v>
      </c>
      <c r="M3" t="s">
        <v>36</v>
      </c>
      <c r="O3" t="s">
        <v>87</v>
      </c>
      <c r="P3" t="s">
        <v>88</v>
      </c>
      <c r="R3" t="s">
        <v>90</v>
      </c>
      <c r="AB3">
        <v>0.99897000000000002</v>
      </c>
      <c r="AC3">
        <v>0.99894000000000005</v>
      </c>
      <c r="AD3">
        <v>0.99890000000000001</v>
      </c>
      <c r="AE3">
        <v>0.99887000000000004</v>
      </c>
      <c r="AF3">
        <v>0.99882000000000004</v>
      </c>
      <c r="AG3">
        <v>0.99878</v>
      </c>
      <c r="AH3">
        <v>0.99873000000000001</v>
      </c>
      <c r="AI3">
        <v>0.99866999999999995</v>
      </c>
      <c r="AJ3">
        <v>0.99861</v>
      </c>
      <c r="AK3">
        <v>0.99853999999999998</v>
      </c>
      <c r="AL3">
        <v>0.99846999999999997</v>
      </c>
      <c r="AM3">
        <v>0.99839</v>
      </c>
      <c r="AN3">
        <v>0.99829999999999997</v>
      </c>
      <c r="AO3">
        <v>0.99821000000000004</v>
      </c>
      <c r="AP3">
        <v>0.99809999999999999</v>
      </c>
      <c r="AQ3">
        <v>0.99799000000000004</v>
      </c>
      <c r="AR3">
        <v>0.99785999999999997</v>
      </c>
      <c r="AS3">
        <v>0.99772000000000005</v>
      </c>
      <c r="AT3">
        <v>0.99756999999999996</v>
      </c>
      <c r="AU3">
        <v>0.99739999999999995</v>
      </c>
      <c r="AV3">
        <v>0.99722</v>
      </c>
      <c r="AW3">
        <v>0.99702000000000002</v>
      </c>
      <c r="AX3">
        <v>0.99680000000000002</v>
      </c>
      <c r="AY3">
        <v>0.99656</v>
      </c>
      <c r="AZ3">
        <v>0.99629000000000001</v>
      </c>
      <c r="BA3">
        <v>0.996</v>
      </c>
      <c r="BB3">
        <v>0.99568999999999996</v>
      </c>
      <c r="BC3">
        <v>0.99534</v>
      </c>
      <c r="BD3">
        <v>0.99495999999999996</v>
      </c>
      <c r="BE3">
        <v>0.99453999999999998</v>
      </c>
      <c r="BF3">
        <v>0.99407999999999996</v>
      </c>
      <c r="BG3">
        <v>0.99358000000000002</v>
      </c>
      <c r="BH3">
        <v>0.99302999999999997</v>
      </c>
      <c r="BI3">
        <v>0.99241999999999997</v>
      </c>
      <c r="BJ3">
        <v>0.99175999999999997</v>
      </c>
      <c r="BK3">
        <v>0.99104000000000003</v>
      </c>
      <c r="BL3">
        <v>0.99024999999999996</v>
      </c>
      <c r="BM3">
        <v>0.98938000000000004</v>
      </c>
      <c r="BN3">
        <v>0.98841999999999997</v>
      </c>
      <c r="BO3">
        <v>0.98738000000000004</v>
      </c>
      <c r="BP3">
        <v>0.98624000000000001</v>
      </c>
      <c r="BQ3">
        <v>0.98499000000000003</v>
      </c>
      <c r="BR3">
        <v>0.98362000000000005</v>
      </c>
      <c r="BS3">
        <v>0.98211999999999999</v>
      </c>
      <c r="BT3">
        <v>0.98048000000000002</v>
      </c>
      <c r="BU3">
        <v>0.97907999999999995</v>
      </c>
      <c r="BV3">
        <v>0.97631999999999997</v>
      </c>
      <c r="BW3">
        <v>0.97455999999999998</v>
      </c>
      <c r="BX3">
        <v>0.97221000000000002</v>
      </c>
      <c r="BY3">
        <v>0.96962999999999999</v>
      </c>
      <c r="BZ3">
        <v>0.96682000000000001</v>
      </c>
      <c r="CA3">
        <v>0.96374000000000004</v>
      </c>
      <c r="CB3">
        <v>0.96038000000000001</v>
      </c>
      <c r="CC3">
        <v>0.95669999999999999</v>
      </c>
      <c r="CD3">
        <v>0.95269000000000004</v>
      </c>
      <c r="CE3">
        <v>0.94830999999999999</v>
      </c>
      <c r="CF3">
        <v>0.94352999999999998</v>
      </c>
      <c r="CG3">
        <v>0.93832000000000004</v>
      </c>
      <c r="CH3">
        <v>0.93262999999999996</v>
      </c>
      <c r="CI3">
        <v>0.92644000000000004</v>
      </c>
      <c r="CJ3">
        <v>0.91969999999999996</v>
      </c>
      <c r="CK3">
        <v>0.91236000000000006</v>
      </c>
      <c r="CL3">
        <v>0.90439000000000003</v>
      </c>
      <c r="CM3">
        <v>0.89571999999999996</v>
      </c>
      <c r="CN3">
        <v>0.88631000000000004</v>
      </c>
      <c r="CO3">
        <v>0.87610999999999994</v>
      </c>
      <c r="CP3">
        <v>0.86505999999999994</v>
      </c>
      <c r="CQ3">
        <v>0.85311000000000003</v>
      </c>
      <c r="CR3">
        <v>0.84018999999999999</v>
      </c>
      <c r="CS3">
        <v>0.82625000000000004</v>
      </c>
      <c r="CT3">
        <v>0.81123000000000001</v>
      </c>
      <c r="CU3">
        <v>0.79506999999999994</v>
      </c>
      <c r="CV3">
        <v>0.77773000000000003</v>
      </c>
      <c r="CW3">
        <v>0.75913999999999993</v>
      </c>
      <c r="CX3">
        <v>0.73926999999999998</v>
      </c>
      <c r="CY3">
        <v>0.7180899999999999</v>
      </c>
      <c r="CZ3">
        <v>0.69555</v>
      </c>
      <c r="DA3">
        <v>0.67166000000000003</v>
      </c>
      <c r="DB3">
        <v>0.64639999999999997</v>
      </c>
      <c r="DC3">
        <v>0.61980000000000002</v>
      </c>
      <c r="DD3">
        <v>0.59187999999999996</v>
      </c>
      <c r="DE3">
        <v>0.56272000000000011</v>
      </c>
      <c r="DF3">
        <v>0.53238999999999992</v>
      </c>
      <c r="DG3">
        <v>0.50100999999999996</v>
      </c>
      <c r="DH3">
        <v>0.46872000000000003</v>
      </c>
      <c r="DI3">
        <v>0.43571000000000004</v>
      </c>
      <c r="DJ3">
        <v>0.40216999999999992</v>
      </c>
      <c r="DK3">
        <v>0.36836000000000002</v>
      </c>
      <c r="DL3">
        <v>0.3345499999999999</v>
      </c>
      <c r="DM3">
        <v>0.30113000000000001</v>
      </c>
      <c r="DN3">
        <v>0.26812999999999998</v>
      </c>
    </row>
    <row r="4" spans="1:118" x14ac:dyDescent="0.2">
      <c r="A4" t="s">
        <v>70</v>
      </c>
      <c r="B4" t="s">
        <v>0</v>
      </c>
      <c r="C4" t="s">
        <v>69</v>
      </c>
      <c r="D4" t="s">
        <v>89</v>
      </c>
      <c r="E4" t="s">
        <v>65</v>
      </c>
      <c r="F4" t="s">
        <v>6</v>
      </c>
      <c r="G4">
        <v>1</v>
      </c>
      <c r="I4" t="s">
        <v>104</v>
      </c>
      <c r="J4" t="s">
        <v>110</v>
      </c>
      <c r="K4" t="s">
        <v>95</v>
      </c>
      <c r="T4" t="s">
        <v>91</v>
      </c>
      <c r="U4" t="s">
        <v>9</v>
      </c>
      <c r="V4" t="s">
        <v>72</v>
      </c>
      <c r="W4" t="s">
        <v>73</v>
      </c>
      <c r="AA4" t="s">
        <v>110</v>
      </c>
      <c r="AB4">
        <v>20</v>
      </c>
      <c r="AC4">
        <v>21</v>
      </c>
      <c r="AD4">
        <v>22</v>
      </c>
      <c r="AE4">
        <v>23</v>
      </c>
      <c r="AF4">
        <v>24</v>
      </c>
      <c r="AG4">
        <v>25</v>
      </c>
      <c r="AH4">
        <v>26</v>
      </c>
      <c r="AI4">
        <v>27</v>
      </c>
      <c r="AJ4">
        <v>28</v>
      </c>
      <c r="AK4">
        <v>29</v>
      </c>
      <c r="AL4">
        <v>30</v>
      </c>
      <c r="AM4">
        <v>31</v>
      </c>
      <c r="AN4">
        <v>32</v>
      </c>
      <c r="AO4">
        <v>33</v>
      </c>
      <c r="AP4">
        <v>34</v>
      </c>
      <c r="AQ4">
        <v>35</v>
      </c>
      <c r="AR4">
        <v>36</v>
      </c>
      <c r="AS4">
        <v>37</v>
      </c>
      <c r="AT4">
        <v>38</v>
      </c>
      <c r="AU4">
        <v>39</v>
      </c>
      <c r="AV4">
        <v>40</v>
      </c>
      <c r="AW4">
        <v>41</v>
      </c>
      <c r="AX4">
        <v>42</v>
      </c>
      <c r="AY4">
        <v>43</v>
      </c>
      <c r="AZ4">
        <v>44</v>
      </c>
      <c r="BA4">
        <v>45</v>
      </c>
      <c r="BB4">
        <v>46</v>
      </c>
      <c r="BC4">
        <v>47</v>
      </c>
      <c r="BD4">
        <v>48</v>
      </c>
      <c r="BE4">
        <v>49</v>
      </c>
      <c r="BF4">
        <v>50</v>
      </c>
      <c r="BG4">
        <v>51</v>
      </c>
      <c r="BH4">
        <v>52</v>
      </c>
      <c r="BI4">
        <v>53</v>
      </c>
      <c r="BJ4">
        <v>54</v>
      </c>
      <c r="BK4">
        <v>55</v>
      </c>
      <c r="BL4">
        <v>56</v>
      </c>
      <c r="BM4">
        <v>57</v>
      </c>
      <c r="BN4">
        <v>58</v>
      </c>
      <c r="BO4">
        <v>59</v>
      </c>
      <c r="BP4">
        <v>60</v>
      </c>
      <c r="BQ4">
        <v>61</v>
      </c>
      <c r="BR4">
        <v>62</v>
      </c>
      <c r="BS4">
        <v>63</v>
      </c>
      <c r="BT4">
        <v>64</v>
      </c>
      <c r="BU4">
        <v>65</v>
      </c>
      <c r="BV4">
        <v>66</v>
      </c>
      <c r="BW4">
        <v>67</v>
      </c>
      <c r="BX4">
        <v>68</v>
      </c>
      <c r="BY4">
        <v>69</v>
      </c>
      <c r="BZ4">
        <v>70</v>
      </c>
      <c r="CA4">
        <v>71</v>
      </c>
      <c r="CB4">
        <v>72</v>
      </c>
      <c r="CC4">
        <v>73</v>
      </c>
      <c r="CD4">
        <v>74</v>
      </c>
      <c r="CE4">
        <v>75</v>
      </c>
      <c r="CF4">
        <v>76</v>
      </c>
      <c r="CG4">
        <v>77</v>
      </c>
      <c r="CH4">
        <v>78</v>
      </c>
      <c r="CI4">
        <v>79</v>
      </c>
      <c r="CJ4">
        <v>80</v>
      </c>
      <c r="CK4">
        <v>81</v>
      </c>
      <c r="CL4">
        <v>82</v>
      </c>
      <c r="CM4">
        <v>83</v>
      </c>
      <c r="CN4">
        <v>84</v>
      </c>
      <c r="CO4">
        <v>85</v>
      </c>
      <c r="CP4">
        <v>86</v>
      </c>
      <c r="CQ4">
        <v>87</v>
      </c>
      <c r="CR4">
        <v>88</v>
      </c>
      <c r="CS4">
        <v>89</v>
      </c>
      <c r="CT4">
        <v>90</v>
      </c>
      <c r="CU4">
        <v>91</v>
      </c>
      <c r="CV4">
        <v>92</v>
      </c>
      <c r="CW4">
        <v>93</v>
      </c>
      <c r="CX4">
        <v>94</v>
      </c>
      <c r="CY4">
        <v>95</v>
      </c>
      <c r="CZ4">
        <v>96</v>
      </c>
      <c r="DA4">
        <v>97</v>
      </c>
      <c r="DB4">
        <v>98</v>
      </c>
      <c r="DC4">
        <v>99</v>
      </c>
      <c r="DD4">
        <v>100</v>
      </c>
      <c r="DE4">
        <v>101</v>
      </c>
      <c r="DF4">
        <v>102</v>
      </c>
      <c r="DG4">
        <v>103</v>
      </c>
      <c r="DH4">
        <v>104</v>
      </c>
      <c r="DI4">
        <v>105</v>
      </c>
      <c r="DJ4">
        <v>106</v>
      </c>
      <c r="DK4">
        <v>107</v>
      </c>
      <c r="DL4">
        <v>108</v>
      </c>
      <c r="DM4">
        <v>109</v>
      </c>
      <c r="DN4">
        <v>110</v>
      </c>
    </row>
    <row r="5" spans="1:118" x14ac:dyDescent="0.2">
      <c r="A5">
        <v>1</v>
      </c>
      <c r="B5">
        <v>20</v>
      </c>
      <c r="C5">
        <f>(1/(1+$C$2))^A5</f>
        <v>0.95238095238095233</v>
      </c>
      <c r="D5">
        <f>C5^2</f>
        <v>0.90702947845804982</v>
      </c>
      <c r="E5">
        <v>1.0300000000000001E-3</v>
      </c>
      <c r="F5">
        <f t="shared" ref="F5:F68" si="0">1-E5</f>
        <v>0.99897000000000002</v>
      </c>
      <c r="G5">
        <f>F5</f>
        <v>0.99897000000000002</v>
      </c>
      <c r="I5">
        <v>94.160310415697325</v>
      </c>
      <c r="J5">
        <v>20</v>
      </c>
      <c r="K5" s="37">
        <f>SUMPRODUCT(C5:C95,G4:G94,E5:E95)*1000</f>
        <v>94.160310415697325</v>
      </c>
      <c r="L5" s="19">
        <f t="shared" ref="L5:L36" si="1">-PV(0.05,110-B5,1)/(110-B5)*1000</f>
        <v>219.46957491179577</v>
      </c>
      <c r="M5" s="20">
        <f>(1-EXP(-0.04))/((1-EXP(-0.04))+0.05)*1000</f>
        <v>439.52824054796787</v>
      </c>
      <c r="O5">
        <f>SUMPRODUCT(C5:C95,G4:G94,E5:E95)</f>
        <v>9.4160310415697321E-2</v>
      </c>
      <c r="P5">
        <f>SUMPRODUCT(D5:D95,G4:G94,E5:E95)</f>
        <v>2.0698009916920744E-2</v>
      </c>
      <c r="R5" s="65">
        <f>1000^2*(P5-O5^2)</f>
        <v>11831.845859340267</v>
      </c>
      <c r="T5" s="58">
        <v>65.28</v>
      </c>
      <c r="U5">
        <v>1.0300000000000001E-3</v>
      </c>
      <c r="V5">
        <v>1.1111111111111112E-2</v>
      </c>
      <c r="W5">
        <v>3.9210560847676823E-2</v>
      </c>
      <c r="AB5" t="s">
        <v>7</v>
      </c>
    </row>
    <row r="6" spans="1:118" x14ac:dyDescent="0.2">
      <c r="A6">
        <v>2</v>
      </c>
      <c r="B6">
        <v>21</v>
      </c>
      <c r="C6">
        <f t="shared" ref="C6:C69" si="2">(1/(1+$C$2))^A6</f>
        <v>0.90702947845804982</v>
      </c>
      <c r="D6">
        <f t="shared" ref="D6:D69" si="3">C6^2</f>
        <v>0.82270247479188185</v>
      </c>
      <c r="E6">
        <v>1.06E-3</v>
      </c>
      <c r="F6">
        <f t="shared" si="0"/>
        <v>0.99894000000000005</v>
      </c>
      <c r="G6" s="34">
        <f>F6*G5</f>
        <v>0.99791109180000004</v>
      </c>
      <c r="H6" s="34"/>
      <c r="I6">
        <v>97.939203315897615</v>
      </c>
      <c r="J6">
        <v>21</v>
      </c>
      <c r="K6" s="38">
        <f>1000*((K5/1000-$C$5*E5)/($C$5*F5))</f>
        <v>97.939203315897558</v>
      </c>
      <c r="L6" s="22">
        <f t="shared" si="1"/>
        <v>221.796346395109</v>
      </c>
      <c r="M6" s="23">
        <f t="shared" ref="M6:M69" si="4">(1-EXP(-0.04))/((1-EXP(-0.04))+0.05)*1000</f>
        <v>439.52824054796787</v>
      </c>
      <c r="T6" s="59">
        <v>68.239999999999995</v>
      </c>
      <c r="U6">
        <v>1.06E-3</v>
      </c>
      <c r="V6">
        <v>1.1235955056179775E-2</v>
      </c>
      <c r="W6">
        <v>3.9210560847676823E-2</v>
      </c>
      <c r="Z6" t="s">
        <v>65</v>
      </c>
      <c r="AA6" t="s">
        <v>6</v>
      </c>
      <c r="AB6">
        <v>1</v>
      </c>
      <c r="AC6">
        <v>1</v>
      </c>
      <c r="AD6">
        <v>1</v>
      </c>
      <c r="AE6">
        <v>1</v>
      </c>
      <c r="AF6">
        <v>1</v>
      </c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1</v>
      </c>
      <c r="AR6">
        <v>1</v>
      </c>
      <c r="AS6">
        <v>1</v>
      </c>
      <c r="AT6">
        <v>1</v>
      </c>
      <c r="AU6">
        <v>1</v>
      </c>
      <c r="AV6">
        <v>1</v>
      </c>
      <c r="AW6">
        <v>1</v>
      </c>
      <c r="AX6">
        <v>1</v>
      </c>
      <c r="AY6">
        <v>1</v>
      </c>
      <c r="AZ6">
        <v>1</v>
      </c>
      <c r="BA6">
        <v>1</v>
      </c>
      <c r="BB6">
        <v>1</v>
      </c>
      <c r="BC6">
        <v>1</v>
      </c>
      <c r="BD6">
        <v>1</v>
      </c>
      <c r="BE6">
        <v>1</v>
      </c>
      <c r="BF6">
        <v>1</v>
      </c>
      <c r="BG6">
        <v>1</v>
      </c>
      <c r="BH6">
        <v>1</v>
      </c>
      <c r="BI6">
        <v>1</v>
      </c>
      <c r="BJ6">
        <v>1</v>
      </c>
      <c r="BK6">
        <v>1</v>
      </c>
      <c r="BL6">
        <v>1</v>
      </c>
      <c r="BM6">
        <v>1</v>
      </c>
      <c r="BN6">
        <v>1</v>
      </c>
      <c r="BO6">
        <v>1</v>
      </c>
      <c r="BP6">
        <v>1</v>
      </c>
      <c r="BQ6">
        <v>1</v>
      </c>
      <c r="BR6">
        <v>1</v>
      </c>
      <c r="BS6">
        <v>1</v>
      </c>
      <c r="BT6">
        <v>1</v>
      </c>
      <c r="BU6">
        <v>1</v>
      </c>
      <c r="BV6">
        <v>1</v>
      </c>
      <c r="BW6">
        <v>1</v>
      </c>
      <c r="BX6">
        <v>1</v>
      </c>
      <c r="BY6">
        <v>1</v>
      </c>
      <c r="BZ6">
        <v>1</v>
      </c>
      <c r="CA6">
        <v>1</v>
      </c>
      <c r="CB6">
        <v>1</v>
      </c>
      <c r="CC6">
        <v>1</v>
      </c>
      <c r="CD6">
        <v>1</v>
      </c>
      <c r="CE6">
        <v>1</v>
      </c>
      <c r="CF6">
        <v>1</v>
      </c>
      <c r="CG6">
        <v>1</v>
      </c>
      <c r="CH6">
        <v>1</v>
      </c>
      <c r="CI6">
        <v>1</v>
      </c>
      <c r="CJ6">
        <v>1</v>
      </c>
      <c r="CK6">
        <v>1</v>
      </c>
      <c r="CL6">
        <v>1</v>
      </c>
      <c r="CM6">
        <v>1</v>
      </c>
      <c r="CN6">
        <v>1</v>
      </c>
      <c r="CO6">
        <v>1</v>
      </c>
      <c r="CP6">
        <v>1</v>
      </c>
      <c r="CQ6">
        <v>1</v>
      </c>
      <c r="CR6">
        <v>1</v>
      </c>
      <c r="CS6">
        <v>1</v>
      </c>
      <c r="CT6">
        <v>1</v>
      </c>
      <c r="CU6">
        <v>1</v>
      </c>
      <c r="CV6">
        <v>1</v>
      </c>
      <c r="CW6">
        <v>1</v>
      </c>
      <c r="CX6">
        <v>1</v>
      </c>
      <c r="CY6">
        <v>1</v>
      </c>
      <c r="CZ6">
        <v>1</v>
      </c>
      <c r="DA6">
        <v>1</v>
      </c>
      <c r="DB6">
        <v>1</v>
      </c>
      <c r="DC6">
        <v>1</v>
      </c>
      <c r="DD6">
        <v>1</v>
      </c>
      <c r="DE6">
        <v>1</v>
      </c>
      <c r="DF6">
        <v>1</v>
      </c>
      <c r="DG6">
        <v>1</v>
      </c>
      <c r="DH6">
        <v>1</v>
      </c>
      <c r="DI6">
        <v>1</v>
      </c>
      <c r="DJ6">
        <v>1</v>
      </c>
      <c r="DK6">
        <v>1</v>
      </c>
      <c r="DL6">
        <v>1</v>
      </c>
      <c r="DM6">
        <v>1</v>
      </c>
      <c r="DN6">
        <v>1</v>
      </c>
    </row>
    <row r="7" spans="1:118" x14ac:dyDescent="0.2">
      <c r="A7">
        <v>3</v>
      </c>
      <c r="B7">
        <v>22</v>
      </c>
      <c r="C7">
        <f t="shared" si="2"/>
        <v>0.86383759853147601</v>
      </c>
      <c r="D7">
        <f t="shared" si="3"/>
        <v>0.7462153966366275</v>
      </c>
      <c r="E7">
        <v>1.1000000000000001E-3</v>
      </c>
      <c r="F7">
        <f t="shared" si="0"/>
        <v>0.99890000000000001</v>
      </c>
      <c r="G7" s="34">
        <f t="shared" ref="G7:G70" si="5">F7*G6</f>
        <v>0.99681338959901999</v>
      </c>
      <c r="H7" s="34"/>
      <c r="I7">
        <v>101.88416069202599</v>
      </c>
      <c r="J7">
        <v>22</v>
      </c>
      <c r="K7" s="38">
        <f t="shared" ref="K7:K70" si="6">1000*((K6/1000-$C$5*E6)/($C$5*F6))</f>
        <v>101.884160692026</v>
      </c>
      <c r="L7" s="22">
        <f t="shared" si="1"/>
        <v>224.16896102980607</v>
      </c>
      <c r="M7" s="23">
        <f t="shared" si="4"/>
        <v>439.52824054796787</v>
      </c>
      <c r="T7" s="60">
        <v>71.349999999999994</v>
      </c>
      <c r="U7">
        <v>1.1000000000000001E-3</v>
      </c>
      <c r="V7">
        <v>1.1363636363636364E-2</v>
      </c>
      <c r="W7">
        <v>3.9210560847676823E-2</v>
      </c>
      <c r="Z7">
        <f>E5</f>
        <v>1.0300000000000001E-3</v>
      </c>
      <c r="AA7">
        <f>F5</f>
        <v>0.99897000000000002</v>
      </c>
      <c r="AB7">
        <f>AB3</f>
        <v>0.99897000000000002</v>
      </c>
      <c r="AC7">
        <f t="shared" ref="AC7:BH7" si="7">AB8/AB$3</f>
        <v>0.99894000000000005</v>
      </c>
      <c r="AD7">
        <f t="shared" si="7"/>
        <v>0.9988999999999999</v>
      </c>
      <c r="AE7">
        <f t="shared" si="7"/>
        <v>0.99886999999999992</v>
      </c>
      <c r="AF7">
        <f t="shared" si="7"/>
        <v>0.99882000000000004</v>
      </c>
      <c r="AG7">
        <f t="shared" si="7"/>
        <v>0.99878</v>
      </c>
      <c r="AH7">
        <f t="shared" si="7"/>
        <v>0.99873000000000001</v>
      </c>
      <c r="AI7">
        <f t="shared" si="7"/>
        <v>0.99866999999999984</v>
      </c>
      <c r="AJ7">
        <f t="shared" si="7"/>
        <v>0.99861000000000011</v>
      </c>
      <c r="AK7">
        <f t="shared" si="7"/>
        <v>0.99854000000000021</v>
      </c>
      <c r="AL7">
        <f t="shared" si="7"/>
        <v>0.99847000000000008</v>
      </c>
      <c r="AM7">
        <f t="shared" si="7"/>
        <v>0.99839</v>
      </c>
      <c r="AN7">
        <f t="shared" si="7"/>
        <v>0.99830000000000008</v>
      </c>
      <c r="AO7">
        <f t="shared" si="7"/>
        <v>0.99821000000000015</v>
      </c>
      <c r="AP7">
        <f t="shared" si="7"/>
        <v>0.99810000000000032</v>
      </c>
      <c r="AQ7">
        <f t="shared" si="7"/>
        <v>0.99799000000000004</v>
      </c>
      <c r="AR7">
        <f t="shared" si="7"/>
        <v>0.99786000000000008</v>
      </c>
      <c r="AS7">
        <f t="shared" si="7"/>
        <v>0.99772000000000027</v>
      </c>
      <c r="AT7">
        <f t="shared" si="7"/>
        <v>0.99757000000000018</v>
      </c>
      <c r="AU7">
        <f t="shared" si="7"/>
        <v>0.99740000000000018</v>
      </c>
      <c r="AV7">
        <f t="shared" si="7"/>
        <v>0.99722000000000055</v>
      </c>
      <c r="AW7">
        <f t="shared" si="7"/>
        <v>0.99702000000000035</v>
      </c>
      <c r="AX7">
        <f t="shared" si="7"/>
        <v>0.99680000000000024</v>
      </c>
      <c r="AY7">
        <f t="shared" si="7"/>
        <v>0.99656000000000022</v>
      </c>
      <c r="AZ7">
        <f t="shared" si="7"/>
        <v>0.99629000000000012</v>
      </c>
      <c r="BA7">
        <f t="shared" si="7"/>
        <v>0.996</v>
      </c>
      <c r="BB7">
        <f t="shared" si="7"/>
        <v>0.99568999999999996</v>
      </c>
      <c r="BC7">
        <f t="shared" si="7"/>
        <v>0.99534000000000045</v>
      </c>
      <c r="BD7">
        <f t="shared" si="7"/>
        <v>0.9949600000000004</v>
      </c>
      <c r="BE7">
        <f t="shared" si="7"/>
        <v>0.99454000000000031</v>
      </c>
      <c r="BF7">
        <f t="shared" si="7"/>
        <v>0.99408000000000007</v>
      </c>
      <c r="BG7">
        <f t="shared" si="7"/>
        <v>0.99358000000000046</v>
      </c>
      <c r="BH7">
        <f t="shared" si="7"/>
        <v>0.99302999999999997</v>
      </c>
      <c r="BI7">
        <f t="shared" ref="BI7:CN7" si="8">BH8/BH$3</f>
        <v>0.99241999999999975</v>
      </c>
      <c r="BJ7">
        <f t="shared" si="8"/>
        <v>0.99176000000000009</v>
      </c>
      <c r="BK7">
        <f t="shared" si="8"/>
        <v>0.99104000000000048</v>
      </c>
      <c r="BL7">
        <f t="shared" si="8"/>
        <v>0.99025000000000007</v>
      </c>
      <c r="BM7">
        <f t="shared" si="8"/>
        <v>0.98938000000000048</v>
      </c>
      <c r="BN7">
        <f t="shared" si="8"/>
        <v>0.98842000000000008</v>
      </c>
      <c r="BO7">
        <f t="shared" si="8"/>
        <v>0.98738000000000026</v>
      </c>
      <c r="BP7">
        <f t="shared" si="8"/>
        <v>0.98624000000000045</v>
      </c>
      <c r="BQ7">
        <f t="shared" si="8"/>
        <v>0.98499000000000025</v>
      </c>
      <c r="BR7">
        <f t="shared" si="8"/>
        <v>0.98362000000000038</v>
      </c>
      <c r="BS7">
        <f t="shared" si="8"/>
        <v>0.98212000000000055</v>
      </c>
      <c r="BT7">
        <f t="shared" si="8"/>
        <v>0.98048000000000035</v>
      </c>
      <c r="BU7">
        <f t="shared" si="8"/>
        <v>0.97907999999999984</v>
      </c>
      <c r="BV7">
        <f t="shared" si="8"/>
        <v>0.9763200000000003</v>
      </c>
      <c r="BW7">
        <f t="shared" si="8"/>
        <v>0.9745600000000002</v>
      </c>
      <c r="BX7">
        <f t="shared" si="8"/>
        <v>0.97221000000000013</v>
      </c>
      <c r="BY7">
        <f t="shared" si="8"/>
        <v>0.96963000000000077</v>
      </c>
      <c r="BZ7">
        <f t="shared" si="8"/>
        <v>0.96682000000000046</v>
      </c>
      <c r="CA7">
        <f t="shared" si="8"/>
        <v>0.96374000000000082</v>
      </c>
      <c r="CB7">
        <f t="shared" si="8"/>
        <v>0.96038000000000046</v>
      </c>
      <c r="CC7">
        <f t="shared" si="8"/>
        <v>0.95669999999999999</v>
      </c>
      <c r="CD7">
        <f t="shared" si="8"/>
        <v>0.95269000000000037</v>
      </c>
      <c r="CE7">
        <f t="shared" si="8"/>
        <v>0.94831000000000043</v>
      </c>
      <c r="CF7">
        <f t="shared" si="8"/>
        <v>0.94353000000000065</v>
      </c>
      <c r="CG7">
        <f t="shared" si="8"/>
        <v>0.93832000000000093</v>
      </c>
      <c r="CH7">
        <f t="shared" si="8"/>
        <v>0.93263000000000063</v>
      </c>
      <c r="CI7">
        <f t="shared" si="8"/>
        <v>0.92644000000000049</v>
      </c>
      <c r="CJ7">
        <f t="shared" si="8"/>
        <v>0.9197000000000003</v>
      </c>
      <c r="CK7">
        <f t="shared" si="8"/>
        <v>0.91236000000000061</v>
      </c>
      <c r="CL7">
        <f t="shared" si="8"/>
        <v>0.90439000000000058</v>
      </c>
      <c r="CM7">
        <f t="shared" si="8"/>
        <v>0.89572000000000029</v>
      </c>
      <c r="CN7">
        <f t="shared" si="8"/>
        <v>0.88631000000000004</v>
      </c>
      <c r="CO7">
        <f t="shared" ref="CO7:DN7" si="9">CN8/CN$3</f>
        <v>0.87611000000000017</v>
      </c>
      <c r="CP7">
        <f t="shared" si="9"/>
        <v>0.86506000000000038</v>
      </c>
      <c r="CQ7">
        <f t="shared" si="9"/>
        <v>0.85311000000000026</v>
      </c>
      <c r="CR7">
        <f t="shared" si="9"/>
        <v>0.84018999999999999</v>
      </c>
      <c r="CS7">
        <f t="shared" si="9"/>
        <v>0.82625000000000048</v>
      </c>
      <c r="CT7">
        <f t="shared" si="9"/>
        <v>0.81123000000000056</v>
      </c>
      <c r="CU7">
        <f t="shared" si="9"/>
        <v>0.79507000000000005</v>
      </c>
      <c r="CV7">
        <f t="shared" si="9"/>
        <v>0.77772999999999981</v>
      </c>
      <c r="CW7">
        <f t="shared" si="9"/>
        <v>0.75914000000000059</v>
      </c>
      <c r="CX7">
        <f t="shared" si="9"/>
        <v>0.73927000000000009</v>
      </c>
      <c r="CY7">
        <f t="shared" si="9"/>
        <v>0.71808999999999978</v>
      </c>
      <c r="CZ7">
        <f t="shared" si="9"/>
        <v>0.69555000000000056</v>
      </c>
      <c r="DA7">
        <f t="shared" si="9"/>
        <v>0.67166000000000037</v>
      </c>
      <c r="DB7">
        <f t="shared" si="9"/>
        <v>0.64639999999999986</v>
      </c>
      <c r="DC7">
        <f t="shared" si="9"/>
        <v>0.61979999999999991</v>
      </c>
      <c r="DD7">
        <f t="shared" si="9"/>
        <v>0.59188000000000041</v>
      </c>
      <c r="DE7">
        <f t="shared" si="9"/>
        <v>0.56271999999999989</v>
      </c>
      <c r="DF7">
        <f t="shared" si="9"/>
        <v>0.53238999999999981</v>
      </c>
      <c r="DG7">
        <f t="shared" si="9"/>
        <v>0.50100999999999984</v>
      </c>
      <c r="DH7">
        <f t="shared" si="9"/>
        <v>0.46871999999999997</v>
      </c>
      <c r="DI7">
        <f t="shared" si="9"/>
        <v>0.43571000000000015</v>
      </c>
      <c r="DJ7">
        <f t="shared" si="9"/>
        <v>0.40217000000000003</v>
      </c>
      <c r="DK7">
        <f t="shared" si="9"/>
        <v>0.36836000000000008</v>
      </c>
      <c r="DL7">
        <f t="shared" si="9"/>
        <v>0.33454999999999979</v>
      </c>
      <c r="DM7">
        <f t="shared" si="9"/>
        <v>0.30112999999999995</v>
      </c>
      <c r="DN7">
        <f t="shared" si="9"/>
        <v>0.26812999999999998</v>
      </c>
    </row>
    <row r="8" spans="1:118" x14ac:dyDescent="0.2">
      <c r="A8">
        <v>4</v>
      </c>
      <c r="B8">
        <v>23</v>
      </c>
      <c r="C8">
        <f t="shared" si="2"/>
        <v>0.82270247479188185</v>
      </c>
      <c r="D8">
        <f t="shared" si="3"/>
        <v>0.676839362028687</v>
      </c>
      <c r="E8">
        <v>1.1299999999999999E-3</v>
      </c>
      <c r="F8">
        <f t="shared" si="0"/>
        <v>0.99887000000000004</v>
      </c>
      <c r="G8" s="34">
        <f t="shared" si="5"/>
        <v>0.99568699046877318</v>
      </c>
      <c r="H8" s="34"/>
      <c r="I8">
        <v>105.99496318613205</v>
      </c>
      <c r="J8">
        <v>23</v>
      </c>
      <c r="K8" s="38">
        <f t="shared" si="6"/>
        <v>105.99496318613207</v>
      </c>
      <c r="L8" s="22">
        <f t="shared" si="1"/>
        <v>226.58864366843773</v>
      </c>
      <c r="M8" s="23">
        <f t="shared" si="4"/>
        <v>439.52824054796787</v>
      </c>
      <c r="T8" s="60">
        <v>74.62</v>
      </c>
      <c r="U8">
        <v>1.1299999999999999E-3</v>
      </c>
      <c r="V8">
        <v>1.1494252873563218E-2</v>
      </c>
      <c r="W8">
        <v>3.9210560847676823E-2</v>
      </c>
      <c r="Z8">
        <f t="shared" ref="Z8:Z71" si="10">E6</f>
        <v>1.06E-3</v>
      </c>
      <c r="AA8">
        <f t="shared" ref="AA8:AA71" si="11">F6</f>
        <v>0.99894000000000005</v>
      </c>
      <c r="AB8" s="34">
        <f>AA8*AB7</f>
        <v>0.99791109180000004</v>
      </c>
      <c r="AC8">
        <f t="shared" ref="AC8:BH8" si="12">AB9/AB$3</f>
        <v>0.99784116599999995</v>
      </c>
      <c r="AD8">
        <f t="shared" si="12"/>
        <v>0.99777124299999997</v>
      </c>
      <c r="AE8">
        <f t="shared" si="12"/>
        <v>0.99769133340000005</v>
      </c>
      <c r="AF8">
        <f t="shared" si="12"/>
        <v>0.99760143960000003</v>
      </c>
      <c r="AG8">
        <f t="shared" si="12"/>
        <v>0.99751154939999997</v>
      </c>
      <c r="AH8">
        <f t="shared" si="12"/>
        <v>0.99740168909999982</v>
      </c>
      <c r="AI8">
        <f t="shared" si="12"/>
        <v>0.99728184870000003</v>
      </c>
      <c r="AJ8">
        <f t="shared" si="12"/>
        <v>0.99715202940000025</v>
      </c>
      <c r="AK8">
        <f t="shared" si="12"/>
        <v>0.99701223380000004</v>
      </c>
      <c r="AL8">
        <f t="shared" si="12"/>
        <v>0.99686246329999995</v>
      </c>
      <c r="AM8">
        <f t="shared" si="12"/>
        <v>0.99669273700000005</v>
      </c>
      <c r="AN8">
        <f t="shared" si="12"/>
        <v>0.9965130430000001</v>
      </c>
      <c r="AO8">
        <f t="shared" si="12"/>
        <v>0.99631340100000032</v>
      </c>
      <c r="AP8">
        <f t="shared" si="12"/>
        <v>0.99609381900000005</v>
      </c>
      <c r="AQ8">
        <f t="shared" si="12"/>
        <v>0.99585430140000009</v>
      </c>
      <c r="AR8">
        <f t="shared" si="12"/>
        <v>0.99558487920000027</v>
      </c>
      <c r="AS8">
        <f t="shared" si="12"/>
        <v>0.99529554040000023</v>
      </c>
      <c r="AT8">
        <f t="shared" si="12"/>
        <v>0.99497631800000008</v>
      </c>
      <c r="AU8">
        <f t="shared" si="12"/>
        <v>0.99462722800000047</v>
      </c>
      <c r="AV8">
        <f t="shared" si="12"/>
        <v>0.99424828440000035</v>
      </c>
      <c r="AW8">
        <f t="shared" si="12"/>
        <v>0.99382953600000024</v>
      </c>
      <c r="AX8">
        <f t="shared" si="12"/>
        <v>0.99337100800000022</v>
      </c>
      <c r="AY8">
        <f t="shared" si="12"/>
        <v>0.99286276240000015</v>
      </c>
      <c r="AZ8">
        <f t="shared" si="12"/>
        <v>0.99230483999999997</v>
      </c>
      <c r="BA8">
        <f t="shared" si="12"/>
        <v>0.99170723999999999</v>
      </c>
      <c r="BB8">
        <f t="shared" si="12"/>
        <v>0.99105008460000044</v>
      </c>
      <c r="BC8">
        <f t="shared" si="12"/>
        <v>0.99032348640000045</v>
      </c>
      <c r="BD8">
        <f t="shared" si="12"/>
        <v>0.98952751840000031</v>
      </c>
      <c r="BE8">
        <f t="shared" si="12"/>
        <v>0.98865232320000007</v>
      </c>
      <c r="BF8">
        <f t="shared" si="12"/>
        <v>0.98769800640000038</v>
      </c>
      <c r="BG8">
        <f t="shared" si="12"/>
        <v>0.98665474740000003</v>
      </c>
      <c r="BH8">
        <f t="shared" si="12"/>
        <v>0.98550283259999971</v>
      </c>
      <c r="BI8">
        <f t="shared" ref="BI8:CN8" si="13">BH9/BH$3</f>
        <v>0.98424245920000009</v>
      </c>
      <c r="BJ8">
        <f t="shared" si="13"/>
        <v>0.98287383040000043</v>
      </c>
      <c r="BK8">
        <f t="shared" si="13"/>
        <v>0.98137736000000009</v>
      </c>
      <c r="BL8">
        <f t="shared" si="13"/>
        <v>0.97973354500000043</v>
      </c>
      <c r="BM8">
        <f t="shared" si="13"/>
        <v>0.97792297960000008</v>
      </c>
      <c r="BN8">
        <f t="shared" si="13"/>
        <v>0.97594613960000021</v>
      </c>
      <c r="BO8">
        <f t="shared" si="13"/>
        <v>0.9737936512000005</v>
      </c>
      <c r="BP8">
        <f t="shared" si="13"/>
        <v>0.97143653760000026</v>
      </c>
      <c r="BQ8">
        <f t="shared" si="13"/>
        <v>0.96885586380000044</v>
      </c>
      <c r="BR8">
        <f t="shared" si="13"/>
        <v>0.96603287440000063</v>
      </c>
      <c r="BS8">
        <f t="shared" si="13"/>
        <v>0.96294901760000029</v>
      </c>
      <c r="BT8">
        <f t="shared" si="13"/>
        <v>0.95996835839999983</v>
      </c>
      <c r="BU8">
        <f t="shared" si="13"/>
        <v>0.9558953856000002</v>
      </c>
      <c r="BV8">
        <f t="shared" si="13"/>
        <v>0.95148241920000021</v>
      </c>
      <c r="BW8">
        <f t="shared" si="13"/>
        <v>0.94747697760000016</v>
      </c>
      <c r="BX8">
        <f t="shared" si="13"/>
        <v>0.94268398230000072</v>
      </c>
      <c r="BY8">
        <f t="shared" si="13"/>
        <v>0.93745767660000046</v>
      </c>
      <c r="BZ8">
        <f t="shared" si="13"/>
        <v>0.93176310680000085</v>
      </c>
      <c r="CA8">
        <f t="shared" si="13"/>
        <v>0.92555662120000048</v>
      </c>
      <c r="CB8">
        <f t="shared" si="13"/>
        <v>0.91879554600000002</v>
      </c>
      <c r="CC8">
        <f t="shared" si="13"/>
        <v>0.91143852300000039</v>
      </c>
      <c r="CD8">
        <f t="shared" si="13"/>
        <v>0.90344545390000042</v>
      </c>
      <c r="CE8">
        <f t="shared" si="13"/>
        <v>0.89475893430000064</v>
      </c>
      <c r="CF8">
        <f t="shared" si="13"/>
        <v>0.88533306960000091</v>
      </c>
      <c r="CG8">
        <f t="shared" si="13"/>
        <v>0.87510538160000062</v>
      </c>
      <c r="CH8">
        <f t="shared" si="13"/>
        <v>0.86402573720000042</v>
      </c>
      <c r="CI8">
        <f t="shared" si="13"/>
        <v>0.85204686800000029</v>
      </c>
      <c r="CJ8">
        <f t="shared" si="13"/>
        <v>0.8390974920000005</v>
      </c>
      <c r="CK8">
        <f t="shared" si="13"/>
        <v>0.82512926040000056</v>
      </c>
      <c r="CL8">
        <f t="shared" si="13"/>
        <v>0.81008021080000026</v>
      </c>
      <c r="CM8">
        <f t="shared" si="13"/>
        <v>0.79388559319999996</v>
      </c>
      <c r="CN8">
        <f t="shared" si="13"/>
        <v>0.77650505410000015</v>
      </c>
      <c r="CO8">
        <f t="shared" ref="CO8:DN8" si="14">CN9/CN$3</f>
        <v>0.75788771660000032</v>
      </c>
      <c r="CP8">
        <f t="shared" si="14"/>
        <v>0.73799133660000016</v>
      </c>
      <c r="CQ8">
        <f t="shared" si="14"/>
        <v>0.71677449090000001</v>
      </c>
      <c r="CR8">
        <f t="shared" si="14"/>
        <v>0.69420698750000043</v>
      </c>
      <c r="CS8">
        <f t="shared" si="14"/>
        <v>0.67027878750000047</v>
      </c>
      <c r="CT8">
        <f t="shared" si="14"/>
        <v>0.64498463610000001</v>
      </c>
      <c r="CU8">
        <f t="shared" si="14"/>
        <v>0.61834979109999977</v>
      </c>
      <c r="CV8">
        <f t="shared" si="14"/>
        <v>0.59040595220000047</v>
      </c>
      <c r="CW8">
        <f t="shared" si="14"/>
        <v>0.56120942780000005</v>
      </c>
      <c r="CX8">
        <f t="shared" si="14"/>
        <v>0.53086239429999982</v>
      </c>
      <c r="CY8">
        <f t="shared" si="14"/>
        <v>0.4994674995000003</v>
      </c>
      <c r="CZ8">
        <f t="shared" si="14"/>
        <v>0.46717311300000025</v>
      </c>
      <c r="DA8">
        <f t="shared" si="14"/>
        <v>0.43416102399999995</v>
      </c>
      <c r="DB8">
        <f t="shared" si="14"/>
        <v>0.40063871999999995</v>
      </c>
      <c r="DC8">
        <f t="shared" si="14"/>
        <v>0.36684722400000025</v>
      </c>
      <c r="DD8">
        <f t="shared" si="14"/>
        <v>0.33306271359999989</v>
      </c>
      <c r="DE8">
        <f t="shared" si="14"/>
        <v>0.29958650079999993</v>
      </c>
      <c r="DF8">
        <f t="shared" si="14"/>
        <v>0.26673271389999986</v>
      </c>
      <c r="DG8">
        <f t="shared" si="14"/>
        <v>0.23483340719999996</v>
      </c>
      <c r="DH8">
        <f t="shared" si="14"/>
        <v>0.2042259912000001</v>
      </c>
      <c r="DI8">
        <f t="shared" si="14"/>
        <v>0.17522949070000002</v>
      </c>
      <c r="DJ8">
        <f t="shared" si="14"/>
        <v>0.1481433412</v>
      </c>
      <c r="DK8">
        <f t="shared" si="14"/>
        <v>0.12323483799999993</v>
      </c>
      <c r="DL8">
        <f t="shared" si="14"/>
        <v>0.10074304149999995</v>
      </c>
      <c r="DM8">
        <f t="shared" si="14"/>
        <v>8.0741986899999993E-2</v>
      </c>
      <c r="DN8">
        <f t="shared" si="14"/>
        <v>0</v>
      </c>
    </row>
    <row r="9" spans="1:118" x14ac:dyDescent="0.2">
      <c r="A9">
        <v>5</v>
      </c>
      <c r="B9">
        <v>24</v>
      </c>
      <c r="C9">
        <f t="shared" si="2"/>
        <v>0.78352616646845885</v>
      </c>
      <c r="D9">
        <f t="shared" si="3"/>
        <v>0.6139132535407591</v>
      </c>
      <c r="E9">
        <v>1.1799999999999998E-3</v>
      </c>
      <c r="F9">
        <f t="shared" si="0"/>
        <v>0.99882000000000004</v>
      </c>
      <c r="G9" s="34">
        <f t="shared" si="5"/>
        <v>0.9945120798200201</v>
      </c>
      <c r="H9" s="34"/>
      <c r="I9">
        <v>110.28933829771501</v>
      </c>
      <c r="J9">
        <v>24</v>
      </c>
      <c r="K9" s="38">
        <f t="shared" si="6"/>
        <v>110.28933829771509</v>
      </c>
      <c r="L9" s="22">
        <f t="shared" si="1"/>
        <v>229.05665812920682</v>
      </c>
      <c r="M9" s="23">
        <f t="shared" si="4"/>
        <v>439.52824054796787</v>
      </c>
      <c r="T9" s="60">
        <v>78.05</v>
      </c>
      <c r="U9">
        <v>1.1799999999999998E-3</v>
      </c>
      <c r="V9">
        <v>1.1627906976744186E-2</v>
      </c>
      <c r="W9">
        <v>3.9210560847676823E-2</v>
      </c>
      <c r="Z9">
        <f t="shared" si="10"/>
        <v>1.1000000000000001E-3</v>
      </c>
      <c r="AA9">
        <f t="shared" si="11"/>
        <v>0.99890000000000001</v>
      </c>
      <c r="AB9" s="34">
        <f t="shared" ref="AB9:AB72" si="15">AA9*AB8</f>
        <v>0.99681338959901999</v>
      </c>
      <c r="AC9">
        <f t="shared" ref="AC9:CN9" si="16">AB10/AB$3</f>
        <v>0.99671360548242005</v>
      </c>
      <c r="AD9">
        <f t="shared" si="16"/>
        <v>0.99659387293326007</v>
      </c>
      <c r="AE9">
        <f t="shared" si="16"/>
        <v>0.99647414997325201</v>
      </c>
      <c r="AF9">
        <f t="shared" si="16"/>
        <v>0.99633448577170802</v>
      </c>
      <c r="AG9">
        <f t="shared" si="16"/>
        <v>0.99618485903929788</v>
      </c>
      <c r="AH9">
        <f t="shared" si="16"/>
        <v>0.99601530075215106</v>
      </c>
      <c r="AI9">
        <f t="shared" si="16"/>
        <v>0.99582581720089824</v>
      </c>
      <c r="AJ9">
        <f t="shared" si="16"/>
        <v>0.99562638679501803</v>
      </c>
      <c r="AK9">
        <f t="shared" si="16"/>
        <v>0.99540704410358194</v>
      </c>
      <c r="AL9">
        <f t="shared" si="16"/>
        <v>0.99516779711239001</v>
      </c>
      <c r="AM9">
        <f t="shared" si="16"/>
        <v>0.99490865700077014</v>
      </c>
      <c r="AN9">
        <f t="shared" si="16"/>
        <v>0.99461966821830028</v>
      </c>
      <c r="AO9">
        <f t="shared" si="16"/>
        <v>0.99431081106399011</v>
      </c>
      <c r="AP9">
        <f t="shared" si="16"/>
        <v>0.99396217822734012</v>
      </c>
      <c r="AQ9">
        <f t="shared" si="16"/>
        <v>0.99358375359280826</v>
      </c>
      <c r="AR9">
        <f t="shared" si="16"/>
        <v>0.99316560794354425</v>
      </c>
      <c r="AS9">
        <f t="shared" si="16"/>
        <v>0.99270777199496019</v>
      </c>
      <c r="AT9">
        <f t="shared" si="16"/>
        <v>0.99221028383596044</v>
      </c>
      <c r="AU9">
        <f t="shared" si="16"/>
        <v>0.99166323886056029</v>
      </c>
      <c r="AV9">
        <f t="shared" si="16"/>
        <v>0.99106668988992019</v>
      </c>
      <c r="AW9">
        <f t="shared" si="16"/>
        <v>0.99041076239616022</v>
      </c>
      <c r="AX9">
        <f t="shared" si="16"/>
        <v>0.98968560156032015</v>
      </c>
      <c r="AY9">
        <f t="shared" si="16"/>
        <v>0.98889131135039998</v>
      </c>
      <c r="AZ9">
        <f t="shared" si="16"/>
        <v>0.98802800613959996</v>
      </c>
      <c r="BA9">
        <f t="shared" si="16"/>
        <v>0.98708588426160038</v>
      </c>
      <c r="BB9">
        <f t="shared" si="16"/>
        <v>0.98605519217361637</v>
      </c>
      <c r="BC9">
        <f t="shared" si="16"/>
        <v>0.98491632016425634</v>
      </c>
      <c r="BD9">
        <f t="shared" si="16"/>
        <v>0.98366951549107207</v>
      </c>
      <c r="BE9">
        <f t="shared" si="16"/>
        <v>0.98230517528505634</v>
      </c>
      <c r="BF9">
        <f t="shared" si="16"/>
        <v>0.98081375129539194</v>
      </c>
      <c r="BG9">
        <f t="shared" si="16"/>
        <v>0.9791759044147077</v>
      </c>
      <c r="BH9">
        <f t="shared" si="16"/>
        <v>0.97738228925937609</v>
      </c>
      <c r="BI9">
        <f t="shared" si="16"/>
        <v>0.97542364676556836</v>
      </c>
      <c r="BJ9">
        <f t="shared" si="16"/>
        <v>0.97329081055360012</v>
      </c>
      <c r="BK9">
        <f t="shared" si="16"/>
        <v>0.97095513243680043</v>
      </c>
      <c r="BL9">
        <f t="shared" si="16"/>
        <v>0.9683882305489</v>
      </c>
      <c r="BM9">
        <f t="shared" si="16"/>
        <v>0.96558159159744827</v>
      </c>
      <c r="BN9">
        <f t="shared" si="16"/>
        <v>0.96251712071910445</v>
      </c>
      <c r="BO9">
        <f t="shared" si="16"/>
        <v>0.95917700849548826</v>
      </c>
      <c r="BP9">
        <f t="shared" si="16"/>
        <v>0.95552440711411246</v>
      </c>
      <c r="BQ9">
        <f t="shared" si="16"/>
        <v>0.95153272095525665</v>
      </c>
      <c r="BR9">
        <f t="shared" si="16"/>
        <v>0.94717591269171231</v>
      </c>
      <c r="BS9">
        <f t="shared" si="16"/>
        <v>0.94280412415180781</v>
      </c>
      <c r="BT9">
        <f t="shared" si="16"/>
        <v>0.93723630767308819</v>
      </c>
      <c r="BU9">
        <f t="shared" si="16"/>
        <v>0.9315774069903362</v>
      </c>
      <c r="BV9">
        <f t="shared" si="16"/>
        <v>0.92504072277043214</v>
      </c>
      <c r="BW9">
        <f t="shared" si="16"/>
        <v>0.91870210179028866</v>
      </c>
      <c r="BX9">
        <f t="shared" si="16"/>
        <v>0.91140572776728646</v>
      </c>
      <c r="BY9">
        <f t="shared" si="16"/>
        <v>0.90346546124648486</v>
      </c>
      <c r="BZ9">
        <f t="shared" si="16"/>
        <v>0.89484665250858453</v>
      </c>
      <c r="CA9">
        <f t="shared" si="16"/>
        <v>0.88548001950204003</v>
      </c>
      <c r="CB9">
        <f t="shared" si="16"/>
        <v>0.87532732871874042</v>
      </c>
      <c r="CC9">
        <f t="shared" si="16"/>
        <v>0.86432626574613036</v>
      </c>
      <c r="CD9">
        <f t="shared" si="16"/>
        <v>0.85242788911826761</v>
      </c>
      <c r="CE9">
        <f t="shared" si="16"/>
        <v>0.83957020323237685</v>
      </c>
      <c r="CF9">
        <f t="shared" si="16"/>
        <v>0.82568818070104855</v>
      </c>
      <c r="CG9">
        <f t="shared" si="16"/>
        <v>0.81073262972950444</v>
      </c>
      <c r="CH9">
        <f t="shared" si="16"/>
        <v>0.79464447050284026</v>
      </c>
      <c r="CI9">
        <f t="shared" si="16"/>
        <v>0.77737348048848054</v>
      </c>
      <c r="CJ9">
        <f t="shared" si="16"/>
        <v>0.75887138078988048</v>
      </c>
      <c r="CK9">
        <f t="shared" si="16"/>
        <v>0.73908478112548825</v>
      </c>
      <c r="CL9">
        <f t="shared" si="16"/>
        <v>0.717982191634148</v>
      </c>
      <c r="CM9">
        <f t="shared" si="16"/>
        <v>0.69553110705845211</v>
      </c>
      <c r="CN9">
        <f t="shared" si="16"/>
        <v>0.67172346209974632</v>
      </c>
      <c r="CO9">
        <f t="shared" ref="CO9:DN9" si="17">CN10/CN$3</f>
        <v>0.64656158990862611</v>
      </c>
      <c r="CP9">
        <f t="shared" si="17"/>
        <v>0.62005294109795395</v>
      </c>
      <c r="CQ9">
        <f t="shared" si="17"/>
        <v>0.59223492310612535</v>
      </c>
      <c r="CR9">
        <f t="shared" si="17"/>
        <v>0.56316153446962536</v>
      </c>
      <c r="CS9">
        <f t="shared" si="17"/>
        <v>0.53291855557762502</v>
      </c>
      <c r="CT9">
        <f t="shared" si="17"/>
        <v>0.50162390103405285</v>
      </c>
      <c r="CU9">
        <f t="shared" si="17"/>
        <v>0.46941406041565431</v>
      </c>
      <c r="CV9">
        <f t="shared" si="17"/>
        <v>0.43646940828289404</v>
      </c>
      <c r="CW9">
        <f t="shared" si="17"/>
        <v>0.40299887800890183</v>
      </c>
      <c r="CX9">
        <f t="shared" si="17"/>
        <v>0.36924133835536521</v>
      </c>
      <c r="CY9">
        <f t="shared" si="17"/>
        <v>0.33547234071417015</v>
      </c>
      <c r="CZ9">
        <f t="shared" si="17"/>
        <v>0.30198070024319995</v>
      </c>
      <c r="DA9">
        <f t="shared" si="17"/>
        <v>0.26909300267519998</v>
      </c>
      <c r="DB9">
        <f t="shared" si="17"/>
        <v>0.23713004559360015</v>
      </c>
      <c r="DC9">
        <f t="shared" si="17"/>
        <v>0.20643226988927996</v>
      </c>
      <c r="DD9">
        <f t="shared" si="17"/>
        <v>0.17731925809350393</v>
      </c>
      <c r="DE9">
        <f t="shared" si="17"/>
        <v>0.15009583276580796</v>
      </c>
      <c r="DF9">
        <f t="shared" si="17"/>
        <v>0.12502295765920796</v>
      </c>
      <c r="DG9">
        <f t="shared" si="17"/>
        <v>0.10231926385111204</v>
      </c>
      <c r="DH9">
        <f t="shared" si="17"/>
        <v>8.2133566880904008E-2</v>
      </c>
      <c r="DI9">
        <f t="shared" si="17"/>
        <v>6.4547535194252006E-2</v>
      </c>
      <c r="DJ9">
        <f t="shared" si="17"/>
        <v>4.956135479845996E-2</v>
      </c>
      <c r="DK9">
        <f t="shared" si="17"/>
        <v>3.7109706766939983E-2</v>
      </c>
      <c r="DL9">
        <f t="shared" si="17"/>
        <v>2.7012231717394988E-2</v>
      </c>
      <c r="DM9">
        <f t="shared" si="17"/>
        <v>0</v>
      </c>
      <c r="DN9">
        <f t="shared" si="17"/>
        <v>0</v>
      </c>
    </row>
    <row r="10" spans="1:118" x14ac:dyDescent="0.2">
      <c r="A10">
        <v>6</v>
      </c>
      <c r="B10">
        <v>25</v>
      </c>
      <c r="C10">
        <f t="shared" si="2"/>
        <v>0.7462153966366275</v>
      </c>
      <c r="D10">
        <f t="shared" si="3"/>
        <v>0.55683741817755927</v>
      </c>
      <c r="E10">
        <v>1.2199999999999999E-3</v>
      </c>
      <c r="F10">
        <f t="shared" si="0"/>
        <v>0.99878</v>
      </c>
      <c r="G10" s="34">
        <f t="shared" si="5"/>
        <v>0.99329877508263964</v>
      </c>
      <c r="H10" s="34"/>
      <c r="I10">
        <v>114.75922109349122</v>
      </c>
      <c r="J10">
        <v>25</v>
      </c>
      <c r="K10" s="38">
        <f t="shared" si="6"/>
        <v>114.75922109349116</v>
      </c>
      <c r="L10" s="22">
        <f t="shared" si="1"/>
        <v>231.57430857726328</v>
      </c>
      <c r="M10" s="23">
        <f t="shared" si="4"/>
        <v>439.52824054796787</v>
      </c>
      <c r="T10" s="58">
        <v>81.650000000000006</v>
      </c>
      <c r="U10">
        <v>1.2199999999999999E-3</v>
      </c>
      <c r="V10">
        <v>1.1764705882352941E-2</v>
      </c>
      <c r="W10">
        <v>3.9210560847676823E-2</v>
      </c>
      <c r="Z10">
        <f t="shared" si="10"/>
        <v>1.1299999999999999E-3</v>
      </c>
      <c r="AA10">
        <f t="shared" si="11"/>
        <v>0.99887000000000004</v>
      </c>
      <c r="AB10" s="34">
        <f t="shared" si="15"/>
        <v>0.99568699046877318</v>
      </c>
      <c r="AC10">
        <f t="shared" ref="AC10:CN10" si="18">AB11/AB$3</f>
        <v>0.9955374834279509</v>
      </c>
      <c r="AD10">
        <f t="shared" si="18"/>
        <v>0.99537802840828149</v>
      </c>
      <c r="AE10">
        <f t="shared" si="18"/>
        <v>0.99520862780278607</v>
      </c>
      <c r="AF10">
        <f t="shared" si="18"/>
        <v>0.99500936090563152</v>
      </c>
      <c r="AG10">
        <f t="shared" si="18"/>
        <v>0.99480016208523347</v>
      </c>
      <c r="AH10">
        <f t="shared" si="18"/>
        <v>0.99456111841305306</v>
      </c>
      <c r="AI10">
        <f t="shared" si="18"/>
        <v>0.99430220370058064</v>
      </c>
      <c r="AJ10">
        <f t="shared" si="18"/>
        <v>0.99402342831227797</v>
      </c>
      <c r="AK10">
        <f t="shared" si="18"/>
        <v>0.99371485212860589</v>
      </c>
      <c r="AL10">
        <f t="shared" si="18"/>
        <v>0.99338644675555887</v>
      </c>
      <c r="AM10">
        <f t="shared" si="18"/>
        <v>0.9930183305524688</v>
      </c>
      <c r="AN10">
        <f t="shared" si="18"/>
        <v>0.99262048268518133</v>
      </c>
      <c r="AO10">
        <f t="shared" si="18"/>
        <v>0.99218298592831322</v>
      </c>
      <c r="AP10">
        <f t="shared" si="18"/>
        <v>0.99169594446098186</v>
      </c>
      <c r="AQ10">
        <f t="shared" si="18"/>
        <v>0.99116934507157772</v>
      </c>
      <c r="AR10">
        <f t="shared" si="18"/>
        <v>0.99058337736289093</v>
      </c>
      <c r="AS10">
        <f t="shared" si="18"/>
        <v>0.98994804438881445</v>
      </c>
      <c r="AT10">
        <f t="shared" si="18"/>
        <v>0.98925349719012912</v>
      </c>
      <c r="AU10">
        <f t="shared" si="18"/>
        <v>0.98848991649620632</v>
      </c>
      <c r="AV10">
        <f t="shared" si="18"/>
        <v>0.98765742047669891</v>
      </c>
      <c r="AW10">
        <f t="shared" si="18"/>
        <v>0.98673633846767039</v>
      </c>
      <c r="AX10">
        <f t="shared" si="18"/>
        <v>0.98572685915407876</v>
      </c>
      <c r="AY10">
        <f t="shared" si="18"/>
        <v>0.98462918979847969</v>
      </c>
      <c r="AZ10">
        <f t="shared" si="18"/>
        <v>0.98342379563098981</v>
      </c>
      <c r="BA10">
        <f t="shared" si="18"/>
        <v>0.98211097140492187</v>
      </c>
      <c r="BB10">
        <f t="shared" si="18"/>
        <v>0.98067133082434832</v>
      </c>
      <c r="BC10">
        <f t="shared" si="18"/>
        <v>0.97908561554888363</v>
      </c>
      <c r="BD10">
        <f t="shared" si="18"/>
        <v>0.97735435720161956</v>
      </c>
      <c r="BE10">
        <f t="shared" si="18"/>
        <v>0.97545850821331903</v>
      </c>
      <c r="BF10">
        <f t="shared" si="18"/>
        <v>0.97337918306057258</v>
      </c>
      <c r="BG10">
        <f t="shared" si="18"/>
        <v>0.97110749496233095</v>
      </c>
      <c r="BH10">
        <f t="shared" si="18"/>
        <v>0.96862494394761234</v>
      </c>
      <c r="BI10">
        <f t="shared" si="18"/>
        <v>0.96591326620960383</v>
      </c>
      <c r="BJ10">
        <f t="shared" si="18"/>
        <v>0.96295446214552116</v>
      </c>
      <c r="BK10">
        <f t="shared" si="18"/>
        <v>0.95971147200318185</v>
      </c>
      <c r="BL10">
        <f t="shared" si="18"/>
        <v>0.9561671710793731</v>
      </c>
      <c r="BM10">
        <f t="shared" si="18"/>
        <v>0.95229518889706755</v>
      </c>
      <c r="BN10">
        <f t="shared" si="18"/>
        <v>0.94806973873711042</v>
      </c>
      <c r="BO10">
        <f t="shared" si="18"/>
        <v>0.94346568909633244</v>
      </c>
      <c r="BP10">
        <f t="shared" si="18"/>
        <v>0.93843963071491232</v>
      </c>
      <c r="BQ10">
        <f t="shared" si="18"/>
        <v>0.93295880224220973</v>
      </c>
      <c r="BR10">
        <f t="shared" si="18"/>
        <v>0.92736099259820126</v>
      </c>
      <c r="BS10">
        <f t="shared" si="18"/>
        <v>0.92047852249189333</v>
      </c>
      <c r="BT10">
        <f t="shared" si="18"/>
        <v>0.91339301600588485</v>
      </c>
      <c r="BU10">
        <f t="shared" si="18"/>
        <v>0.90568887085007466</v>
      </c>
      <c r="BV10">
        <f t="shared" si="18"/>
        <v>0.89694723601989457</v>
      </c>
      <c r="BW10">
        <f t="shared" si="18"/>
        <v>0.88821956605288666</v>
      </c>
      <c r="BX10">
        <f t="shared" si="18"/>
        <v>0.87835815607844503</v>
      </c>
      <c r="BY10">
        <f t="shared" si="18"/>
        <v>0.86767015967189876</v>
      </c>
      <c r="BZ10">
        <f t="shared" si="18"/>
        <v>0.85609979245496237</v>
      </c>
      <c r="CA10">
        <f t="shared" si="18"/>
        <v>0.84358795977939893</v>
      </c>
      <c r="CB10">
        <f t="shared" si="18"/>
        <v>0.83008165909726872</v>
      </c>
      <c r="CC10">
        <f t="shared" si="18"/>
        <v>0.81551776151944666</v>
      </c>
      <c r="CD10">
        <f t="shared" si="18"/>
        <v>0.7998501369174531</v>
      </c>
      <c r="CE10">
        <f t="shared" si="18"/>
        <v>0.78300835864061136</v>
      </c>
      <c r="CF10">
        <f t="shared" si="18"/>
        <v>0.76495055812867929</v>
      </c>
      <c r="CG10">
        <f t="shared" si="18"/>
        <v>0.74563079956222511</v>
      </c>
      <c r="CH10">
        <f t="shared" si="18"/>
        <v>0.72500182910797162</v>
      </c>
      <c r="CI10">
        <f t="shared" si="18"/>
        <v>0.7030488020189769</v>
      </c>
      <c r="CJ10">
        <f t="shared" si="18"/>
        <v>0.67973627320111152</v>
      </c>
      <c r="CK10">
        <f t="shared" si="18"/>
        <v>0.65505823235933136</v>
      </c>
      <c r="CL10">
        <f t="shared" si="18"/>
        <v>0.62903137791259356</v>
      </c>
      <c r="CM10">
        <f t="shared" si="18"/>
        <v>0.60167613947198473</v>
      </c>
      <c r="CN10">
        <f t="shared" si="18"/>
        <v>0.57305400275191443</v>
      </c>
      <c r="CO10">
        <f t="shared" ref="CO10:DN10" si="19">CN11/CN$3</f>
        <v>0.54323458222532839</v>
      </c>
      <c r="CP10">
        <f t="shared" si="19"/>
        <v>0.51231874258218479</v>
      </c>
      <c r="CQ10">
        <f t="shared" si="19"/>
        <v>0.48043873667138215</v>
      </c>
      <c r="CR10">
        <f t="shared" si="19"/>
        <v>0.44775284121076475</v>
      </c>
      <c r="CS10">
        <f t="shared" si="19"/>
        <v>0.41446674822938623</v>
      </c>
      <c r="CT10">
        <f t="shared" si="19"/>
        <v>0.38080276823099124</v>
      </c>
      <c r="CU10">
        <f t="shared" si="19"/>
        <v>0.34702373244348056</v>
      </c>
      <c r="CV10">
        <f t="shared" si="19"/>
        <v>0.31342431739386323</v>
      </c>
      <c r="CW10">
        <f t="shared" si="19"/>
        <v>0.28030586959909193</v>
      </c>
      <c r="CX10">
        <f t="shared" si="19"/>
        <v>0.24800463731976455</v>
      </c>
      <c r="CY10">
        <f t="shared" si="19"/>
        <v>0.2168493210376394</v>
      </c>
      <c r="CZ10">
        <f t="shared" si="19"/>
        <v>0.18716763801073535</v>
      </c>
      <c r="DA10">
        <f t="shared" si="19"/>
        <v>0.15927076642339749</v>
      </c>
      <c r="DB10">
        <f t="shared" si="19"/>
        <v>0.13343781925643056</v>
      </c>
      <c r="DC10">
        <f t="shared" si="19"/>
        <v>0.10990247616635375</v>
      </c>
      <c r="DD10">
        <f t="shared" si="19"/>
        <v>8.8838721497426401E-2</v>
      </c>
      <c r="DE10">
        <f t="shared" si="19"/>
        <v>7.0352918733989522E-2</v>
      </c>
      <c r="DF10">
        <f t="shared" si="19"/>
        <v>5.4473752881693531E-2</v>
      </c>
      <c r="DG10">
        <f t="shared" si="19"/>
        <v>4.1149738343001716E-2</v>
      </c>
      <c r="DH10">
        <f t="shared" si="19"/>
        <v>3.02547206962498E-2</v>
      </c>
      <c r="DI10">
        <f t="shared" si="19"/>
        <v>2.1594377899236992E-2</v>
      </c>
      <c r="DJ10">
        <f t="shared" si="19"/>
        <v>1.492441077046025E-2</v>
      </c>
      <c r="DK10">
        <f t="shared" si="19"/>
        <v>9.9502256754196178E-3</v>
      </c>
      <c r="DL10">
        <f t="shared" si="19"/>
        <v>0</v>
      </c>
      <c r="DM10">
        <f t="shared" si="19"/>
        <v>0</v>
      </c>
      <c r="DN10">
        <f t="shared" si="19"/>
        <v>0</v>
      </c>
    </row>
    <row r="11" spans="1:118" x14ac:dyDescent="0.2">
      <c r="A11">
        <v>7</v>
      </c>
      <c r="B11">
        <v>26</v>
      </c>
      <c r="C11">
        <f t="shared" si="2"/>
        <v>0.71068133013012136</v>
      </c>
      <c r="D11">
        <f t="shared" si="3"/>
        <v>0.50506795299551854</v>
      </c>
      <c r="E11">
        <v>1.2700000000000001E-3</v>
      </c>
      <c r="F11">
        <f t="shared" si="0"/>
        <v>0.99873000000000001</v>
      </c>
      <c r="G11" s="34">
        <f t="shared" si="5"/>
        <v>0.99203728563828475</v>
      </c>
      <c r="H11" s="34"/>
      <c r="I11">
        <v>119.42287805939827</v>
      </c>
      <c r="J11">
        <v>26</v>
      </c>
      <c r="K11" s="38">
        <f t="shared" si="6"/>
        <v>119.4228780593982</v>
      </c>
      <c r="L11" s="22">
        <f t="shared" si="1"/>
        <v>234.14294095858028</v>
      </c>
      <c r="M11" s="23">
        <f t="shared" si="4"/>
        <v>439.52824054796787</v>
      </c>
      <c r="T11" s="59">
        <v>85.43</v>
      </c>
      <c r="U11">
        <v>1.2700000000000001E-3</v>
      </c>
      <c r="V11">
        <v>1.1904761904761904E-2</v>
      </c>
      <c r="W11">
        <v>3.9210560847676823E-2</v>
      </c>
      <c r="Z11">
        <f t="shared" si="10"/>
        <v>1.1799999999999998E-3</v>
      </c>
      <c r="AA11">
        <f t="shared" si="11"/>
        <v>0.99882000000000004</v>
      </c>
      <c r="AB11" s="34">
        <f t="shared" si="15"/>
        <v>0.9945120798200201</v>
      </c>
      <c r="AC11">
        <f t="shared" ref="AC11:CN11" si="20">AB12/AB$3</f>
        <v>0.99432292769816877</v>
      </c>
      <c r="AD11">
        <f t="shared" si="20"/>
        <v>0.99411389831220298</v>
      </c>
      <c r="AE11">
        <f t="shared" si="20"/>
        <v>0.99388500032780824</v>
      </c>
      <c r="AF11">
        <f t="shared" si="20"/>
        <v>0.99362629789397294</v>
      </c>
      <c r="AG11">
        <f t="shared" si="20"/>
        <v>0.99334775384858909</v>
      </c>
      <c r="AH11">
        <f t="shared" si="20"/>
        <v>0.99303943990188093</v>
      </c>
      <c r="AI11">
        <f t="shared" si="20"/>
        <v>0.99270137715262263</v>
      </c>
      <c r="AJ11">
        <f t="shared" si="20"/>
        <v>0.9923335884841471</v>
      </c>
      <c r="AK11">
        <f t="shared" si="20"/>
        <v>0.99193610254329578</v>
      </c>
      <c r="AL11">
        <f t="shared" si="20"/>
        <v>0.99149901250672345</v>
      </c>
      <c r="AM11">
        <f t="shared" si="20"/>
        <v>0.99102236370805818</v>
      </c>
      <c r="AN11">
        <f t="shared" si="20"/>
        <v>0.99049627485223501</v>
      </c>
      <c r="AO11">
        <f t="shared" si="20"/>
        <v>0.98992080872039678</v>
      </c>
      <c r="AP11">
        <f t="shared" si="20"/>
        <v>0.98928612331594168</v>
      </c>
      <c r="AQ11">
        <f t="shared" si="20"/>
        <v>0.98859230477439153</v>
      </c>
      <c r="AR11">
        <f t="shared" si="20"/>
        <v>0.98782955557382235</v>
      </c>
      <c r="AS11">
        <f t="shared" si="20"/>
        <v>0.98699799921653564</v>
      </c>
      <c r="AT11">
        <f t="shared" si="20"/>
        <v>0.98608788599912045</v>
      </c>
      <c r="AU11">
        <f t="shared" si="20"/>
        <v>0.98508951118345944</v>
      </c>
      <c r="AV11">
        <f t="shared" si="20"/>
        <v>0.98399321144673024</v>
      </c>
      <c r="AW11">
        <f t="shared" si="20"/>
        <v>0.98278939311379965</v>
      </c>
      <c r="AX11">
        <f t="shared" si="20"/>
        <v>0.98147837639112456</v>
      </c>
      <c r="AY11">
        <f t="shared" si="20"/>
        <v>0.98004081777401919</v>
      </c>
      <c r="AZ11">
        <f t="shared" si="20"/>
        <v>0.97846733970100963</v>
      </c>
      <c r="BA11">
        <f t="shared" si="20"/>
        <v>0.97674864550105089</v>
      </c>
      <c r="BB11">
        <f t="shared" si="20"/>
        <v>0.97486575654586793</v>
      </c>
      <c r="BC11">
        <f t="shared" si="20"/>
        <v>0.97279988589706001</v>
      </c>
      <c r="BD11">
        <f t="shared" si="20"/>
        <v>0.97054219733192382</v>
      </c>
      <c r="BE11">
        <f t="shared" si="20"/>
        <v>0.96806453272106185</v>
      </c>
      <c r="BF11">
        <f t="shared" si="20"/>
        <v>0.96535853859215393</v>
      </c>
      <c r="BG11">
        <f t="shared" si="20"/>
        <v>0.96240637180746869</v>
      </c>
      <c r="BH11">
        <f t="shared" si="20"/>
        <v>0.95918085074412285</v>
      </c>
      <c r="BI11">
        <f t="shared" si="20"/>
        <v>0.95565526732245809</v>
      </c>
      <c r="BJ11">
        <f t="shared" si="20"/>
        <v>0.95180344947387563</v>
      </c>
      <c r="BK11">
        <f t="shared" si="20"/>
        <v>0.94759991322650194</v>
      </c>
      <c r="BL11">
        <f t="shared" si="20"/>
        <v>0.94301031080532105</v>
      </c>
      <c r="BM11">
        <f t="shared" si="20"/>
        <v>0.93800123811172231</v>
      </c>
      <c r="BN11">
        <f t="shared" si="20"/>
        <v>0.93254035641659683</v>
      </c>
      <c r="BO11">
        <f t="shared" si="20"/>
        <v>0.92659652257529013</v>
      </c>
      <c r="BP11">
        <f t="shared" si="20"/>
        <v>0.92012128912335689</v>
      </c>
      <c r="BQ11">
        <f t="shared" si="20"/>
        <v>0.91344130409930224</v>
      </c>
      <c r="BR11">
        <f t="shared" si="20"/>
        <v>0.90540108429347621</v>
      </c>
      <c r="BS11">
        <f t="shared" si="20"/>
        <v>0.89706154887969958</v>
      </c>
      <c r="BT11">
        <f t="shared" si="20"/>
        <v>0.8880098240910812</v>
      </c>
      <c r="BU11">
        <f t="shared" si="20"/>
        <v>0.87818309984235832</v>
      </c>
      <c r="BV11">
        <f t="shared" si="20"/>
        <v>0.86718652672875429</v>
      </c>
      <c r="BW11">
        <f t="shared" si="20"/>
        <v>0.85601272458780941</v>
      </c>
      <c r="BX11">
        <f t="shared" si="20"/>
        <v>0.84355760593461671</v>
      </c>
      <c r="BY11">
        <f t="shared" si="20"/>
        <v>0.83010004175810514</v>
      </c>
      <c r="BZ11">
        <f t="shared" si="20"/>
        <v>0.81559771127391845</v>
      </c>
      <c r="CA11">
        <f t="shared" si="20"/>
        <v>0.79998289813840184</v>
      </c>
      <c r="CB11">
        <f t="shared" si="20"/>
        <v>0.78320694780804623</v>
      </c>
      <c r="CC11">
        <f t="shared" si="20"/>
        <v>0.76521662598892737</v>
      </c>
      <c r="CD11">
        <f t="shared" si="20"/>
        <v>0.74596423319332406</v>
      </c>
      <c r="CE11">
        <f t="shared" si="20"/>
        <v>0.72541026377900786</v>
      </c>
      <c r="CF11">
        <f t="shared" si="20"/>
        <v>0.70352502831094621</v>
      </c>
      <c r="CG11">
        <f t="shared" si="20"/>
        <v>0.68028371628859197</v>
      </c>
      <c r="CH11">
        <f t="shared" si="20"/>
        <v>0.65568440422695839</v>
      </c>
      <c r="CI11">
        <f t="shared" si="20"/>
        <v>0.62973487294443775</v>
      </c>
      <c r="CJ11">
        <f t="shared" si="20"/>
        <v>0.60245705630087698</v>
      </c>
      <c r="CK11">
        <f t="shared" si="20"/>
        <v>0.57390306795233392</v>
      </c>
      <c r="CL11">
        <f t="shared" si="20"/>
        <v>0.5441498837770683</v>
      </c>
      <c r="CM11">
        <f t="shared" si="20"/>
        <v>0.51329593134494478</v>
      </c>
      <c r="CN11">
        <f t="shared" si="20"/>
        <v>0.48147424257213084</v>
      </c>
      <c r="CO11">
        <f t="shared" ref="CO11:DN11" si="21">CN12/CN$3</f>
        <v>0.44884757356367788</v>
      </c>
      <c r="CP11">
        <f t="shared" si="21"/>
        <v>0.41560833354494581</v>
      </c>
      <c r="CQ11">
        <f t="shared" si="21"/>
        <v>0.38198242636531554</v>
      </c>
      <c r="CR11">
        <f t="shared" si="21"/>
        <v>0.348230817194848</v>
      </c>
      <c r="CS11">
        <f t="shared" si="21"/>
        <v>0.31463828725085652</v>
      </c>
      <c r="CT11">
        <f t="shared" si="21"/>
        <v>0.28151606247012473</v>
      </c>
      <c r="CU11">
        <f t="shared" si="21"/>
        <v>0.24919427203033881</v>
      </c>
      <c r="CV11">
        <f t="shared" si="21"/>
        <v>0.21800228396330179</v>
      </c>
      <c r="CW11">
        <f t="shared" si="21"/>
        <v>0.18827024037492604</v>
      </c>
      <c r="CX11">
        <f t="shared" si="21"/>
        <v>0.16031019756349568</v>
      </c>
      <c r="CY11">
        <f t="shared" si="21"/>
        <v>0.13440320917912893</v>
      </c>
      <c r="CZ11">
        <f t="shared" si="21"/>
        <v>0.11078078158579412</v>
      </c>
      <c r="DA11">
        <f t="shared" si="21"/>
        <v>8.962484568177416E-2</v>
      </c>
      <c r="DB11">
        <f t="shared" si="21"/>
        <v>7.1040960593931057E-2</v>
      </c>
      <c r="DC11">
        <f t="shared" si="21"/>
        <v>5.5062239584104881E-2</v>
      </c>
      <c r="DD11">
        <f t="shared" si="21"/>
        <v>4.164048554027372E-2</v>
      </c>
      <c r="DE11">
        <f t="shared" si="21"/>
        <v>3.0653470221586591E-2</v>
      </c>
      <c r="DF11">
        <f t="shared" si="21"/>
        <v>2.1907709196430682E-2</v>
      </c>
      <c r="DG11">
        <f t="shared" si="21"/>
        <v>1.515791761602811E-2</v>
      </c>
      <c r="DH11">
        <f t="shared" si="21"/>
        <v>1.0121716808930363E-2</v>
      </c>
      <c r="DI11">
        <f t="shared" si="21"/>
        <v>6.5027150167972364E-3</v>
      </c>
      <c r="DJ11">
        <f t="shared" si="21"/>
        <v>4.0016822598835065E-3</v>
      </c>
      <c r="DK11">
        <f t="shared" si="21"/>
        <v>0</v>
      </c>
      <c r="DL11">
        <f t="shared" si="21"/>
        <v>0</v>
      </c>
      <c r="DM11">
        <f t="shared" si="21"/>
        <v>0</v>
      </c>
      <c r="DN11">
        <f t="shared" si="21"/>
        <v>0</v>
      </c>
    </row>
    <row r="12" spans="1:118" x14ac:dyDescent="0.2">
      <c r="A12">
        <v>8</v>
      </c>
      <c r="B12">
        <v>27</v>
      </c>
      <c r="C12">
        <f t="shared" si="2"/>
        <v>0.676839362028687</v>
      </c>
      <c r="D12">
        <f t="shared" si="3"/>
        <v>0.45811152199140004</v>
      </c>
      <c r="E12">
        <v>1.33E-3</v>
      </c>
      <c r="F12">
        <f t="shared" si="0"/>
        <v>0.99866999999999995</v>
      </c>
      <c r="G12" s="34">
        <f t="shared" si="5"/>
        <v>0.99071787604838579</v>
      </c>
      <c r="H12" s="34"/>
      <c r="I12">
        <v>124.28185992447216</v>
      </c>
      <c r="J12">
        <v>27</v>
      </c>
      <c r="K12" s="38">
        <f t="shared" si="6"/>
        <v>124.28185992447219</v>
      </c>
      <c r="L12" s="22">
        <f t="shared" si="1"/>
        <v>236.76394448851545</v>
      </c>
      <c r="M12" s="23">
        <f t="shared" si="4"/>
        <v>439.52824054796787</v>
      </c>
      <c r="T12" s="60">
        <v>89.39</v>
      </c>
      <c r="U12">
        <v>1.33E-3</v>
      </c>
      <c r="V12">
        <v>1.2048192771084338E-2</v>
      </c>
      <c r="W12">
        <v>3.9210560847676823E-2</v>
      </c>
      <c r="Z12">
        <f t="shared" si="10"/>
        <v>1.2199999999999999E-3</v>
      </c>
      <c r="AA12">
        <f t="shared" si="11"/>
        <v>0.99878</v>
      </c>
      <c r="AB12" s="34">
        <f t="shared" si="15"/>
        <v>0.99329877508263964</v>
      </c>
      <c r="AC12">
        <f t="shared" ref="AC12:CN12" si="22">AB13/AB$3</f>
        <v>0.99306013757999212</v>
      </c>
      <c r="AD12">
        <f t="shared" si="22"/>
        <v>0.99279172682744765</v>
      </c>
      <c r="AE12">
        <f t="shared" si="22"/>
        <v>0.99250350017735278</v>
      </c>
      <c r="AF12">
        <f t="shared" si="22"/>
        <v>0.99217560349904776</v>
      </c>
      <c r="AG12">
        <f t="shared" si="22"/>
        <v>0.99182793178520068</v>
      </c>
      <c r="AH12">
        <f t="shared" si="22"/>
        <v>0.99144064640363883</v>
      </c>
      <c r="AI12">
        <f t="shared" si="22"/>
        <v>0.99101378481146318</v>
      </c>
      <c r="AJ12">
        <f t="shared" si="22"/>
        <v>0.99055731136076064</v>
      </c>
      <c r="AK12">
        <f t="shared" si="22"/>
        <v>0.99005142394846357</v>
      </c>
      <c r="AL12">
        <f t="shared" si="22"/>
        <v>0.98950609949158486</v>
      </c>
      <c r="AM12">
        <f t="shared" si="22"/>
        <v>0.98890157584972294</v>
      </c>
      <c r="AN12">
        <f t="shared" si="22"/>
        <v>0.98823794334557202</v>
      </c>
      <c r="AO12">
        <f t="shared" si="22"/>
        <v>0.98751530115520614</v>
      </c>
      <c r="AP12">
        <f t="shared" si="22"/>
        <v>0.98671397939532013</v>
      </c>
      <c r="AQ12">
        <f t="shared" si="22"/>
        <v>0.98584401816711897</v>
      </c>
      <c r="AR12">
        <f t="shared" si="22"/>
        <v>0.98488582349821219</v>
      </c>
      <c r="AS12">
        <f t="shared" si="22"/>
        <v>0.98383960561904249</v>
      </c>
      <c r="AT12">
        <f t="shared" si="22"/>
        <v>0.98269574367128354</v>
      </c>
      <c r="AU12">
        <f t="shared" si="22"/>
        <v>0.98143482909696866</v>
      </c>
      <c r="AV12">
        <f t="shared" si="22"/>
        <v>0.98005723860094329</v>
      </c>
      <c r="AW12">
        <f t="shared" si="22"/>
        <v>0.97855357082947902</v>
      </c>
      <c r="AX12">
        <f t="shared" si="22"/>
        <v>0.97690468715714229</v>
      </c>
      <c r="AY12">
        <f t="shared" si="22"/>
        <v>0.97510141205243817</v>
      </c>
      <c r="AZ12">
        <f t="shared" si="22"/>
        <v>0.97312490802624196</v>
      </c>
      <c r="BA12">
        <f t="shared" si="22"/>
        <v>0.97096629351968444</v>
      </c>
      <c r="BB12">
        <f t="shared" si="22"/>
        <v>0.96860711838884361</v>
      </c>
      <c r="BC12">
        <f t="shared" si="22"/>
        <v>0.96601947069235705</v>
      </c>
      <c r="BD12">
        <f t="shared" si="22"/>
        <v>0.96318548747614763</v>
      </c>
      <c r="BE12">
        <f t="shared" si="22"/>
        <v>0.9600876809714407</v>
      </c>
      <c r="BF12">
        <f t="shared" si="22"/>
        <v>0.95670892608636848</v>
      </c>
      <c r="BG12">
        <f t="shared" si="22"/>
        <v>0.9530229096823456</v>
      </c>
      <c r="BH12">
        <f t="shared" si="22"/>
        <v>0.94899435010922051</v>
      </c>
      <c r="BI12">
        <f t="shared" si="22"/>
        <v>0.94458877932686358</v>
      </c>
      <c r="BJ12">
        <f t="shared" si="22"/>
        <v>0.93979168994151552</v>
      </c>
      <c r="BK12">
        <f t="shared" si="22"/>
        <v>0.93456093842050536</v>
      </c>
      <c r="BL12">
        <f t="shared" si="22"/>
        <v>0.928855726040133</v>
      </c>
      <c r="BM12">
        <f t="shared" si="22"/>
        <v>0.92263677783145259</v>
      </c>
      <c r="BN12">
        <f t="shared" si="22"/>
        <v>0.91586653484386826</v>
      </c>
      <c r="BO12">
        <f t="shared" si="22"/>
        <v>0.90850935845462011</v>
      </c>
      <c r="BP12">
        <f t="shared" si="22"/>
        <v>0.90087235175489588</v>
      </c>
      <c r="BQ12">
        <f t="shared" si="22"/>
        <v>0.89181101401823115</v>
      </c>
      <c r="BR12">
        <f t="shared" si="22"/>
        <v>0.88236768070905014</v>
      </c>
      <c r="BS12">
        <f t="shared" si="22"/>
        <v>0.87213220843633266</v>
      </c>
      <c r="BT12">
        <f t="shared" si="22"/>
        <v>0.86104096573343547</v>
      </c>
      <c r="BU12">
        <f t="shared" si="22"/>
        <v>0.84904498458958866</v>
      </c>
      <c r="BV12">
        <f t="shared" si="22"/>
        <v>0.83574234326957009</v>
      </c>
      <c r="BW12">
        <f t="shared" si="22"/>
        <v>0.82209750043964003</v>
      </c>
      <c r="BX12">
        <f t="shared" si="22"/>
        <v>0.80703156159764744</v>
      </c>
      <c r="BY12">
        <f t="shared" si="22"/>
        <v>0.79082800878252957</v>
      </c>
      <c r="BZ12">
        <f t="shared" si="22"/>
        <v>0.77343946557816967</v>
      </c>
      <c r="CA12">
        <f t="shared" si="22"/>
        <v>0.75480786388052645</v>
      </c>
      <c r="CB12">
        <f t="shared" si="22"/>
        <v>0.73489874326724602</v>
      </c>
      <c r="CC12">
        <f t="shared" si="22"/>
        <v>0.71366398189605307</v>
      </c>
      <c r="CD12">
        <f t="shared" si="22"/>
        <v>0.69109110419962305</v>
      </c>
      <c r="CE12">
        <f t="shared" si="22"/>
        <v>0.66715981959755344</v>
      </c>
      <c r="CF12">
        <f t="shared" si="22"/>
        <v>0.64186809482977514</v>
      </c>
      <c r="CG12">
        <f t="shared" si="22"/>
        <v>0.61524179017423963</v>
      </c>
      <c r="CH12">
        <f t="shared" si="22"/>
        <v>0.58730963455417096</v>
      </c>
      <c r="CI12">
        <f t="shared" si="22"/>
        <v>0.55814031523938445</v>
      </c>
      <c r="CJ12">
        <f t="shared" si="22"/>
        <v>0.52781865159576147</v>
      </c>
      <c r="CK12">
        <f t="shared" si="22"/>
        <v>0.49646058796284603</v>
      </c>
      <c r="CL12">
        <f t="shared" si="22"/>
        <v>0.46421970734905466</v>
      </c>
      <c r="CM12">
        <f t="shared" si="22"/>
        <v>0.43126610855670899</v>
      </c>
      <c r="CN12">
        <f t="shared" si="22"/>
        <v>0.39781809292522335</v>
      </c>
      <c r="CO12">
        <f t="shared" ref="CO12:DN12" si="23">CN13/CN$3</f>
        <v>0.36411861710206245</v>
      </c>
      <c r="CP12">
        <f t="shared" si="23"/>
        <v>0.33043771775157982</v>
      </c>
      <c r="CQ12">
        <f t="shared" si="23"/>
        <v>0.2970791924570968</v>
      </c>
      <c r="CR12">
        <f t="shared" si="23"/>
        <v>0.26435594256529715</v>
      </c>
      <c r="CS12">
        <f t="shared" si="23"/>
        <v>0.23260264661594057</v>
      </c>
      <c r="CT12">
        <f t="shared" si="23"/>
        <v>0.20215386929917176</v>
      </c>
      <c r="CU12">
        <f t="shared" si="23"/>
        <v>0.17332707591070234</v>
      </c>
      <c r="CV12">
        <f t="shared" si="23"/>
        <v>0.14642341404679124</v>
      </c>
      <c r="CW12">
        <f t="shared" si="23"/>
        <v>0.12169788337835211</v>
      </c>
      <c r="CX12">
        <f t="shared" si="23"/>
        <v>9.9360260449854632E-2</v>
      </c>
      <c r="CY12">
        <f t="shared" si="23"/>
        <v>7.9550571448942883E-2</v>
      </c>
      <c r="CZ12">
        <f t="shared" si="23"/>
        <v>6.2338561413958014E-2</v>
      </c>
      <c r="DA12">
        <f t="shared" si="23"/>
        <v>4.7715371592519734E-2</v>
      </c>
      <c r="DB12">
        <f t="shared" si="23"/>
        <v>3.5592231667165394E-2</v>
      </c>
      <c r="DC12">
        <f t="shared" si="23"/>
        <v>2.580877293786165E-2</v>
      </c>
      <c r="DD12">
        <f t="shared" si="23"/>
        <v>1.814317595475267E-2</v>
      </c>
      <c r="DE12">
        <f t="shared" si="23"/>
        <v>1.2327906119015476E-2</v>
      </c>
      <c r="DF12">
        <f t="shared" si="23"/>
        <v>8.0699237595972043E-3</v>
      </c>
      <c r="DG12">
        <f t="shared" si="23"/>
        <v>5.0710813384422003E-3</v>
      </c>
      <c r="DH12">
        <f t="shared" si="23"/>
        <v>3.047952582673201E-3</v>
      </c>
      <c r="DI12">
        <f t="shared" si="23"/>
        <v>1.7435729774538428E-3</v>
      </c>
      <c r="DJ12">
        <f t="shared" si="23"/>
        <v>0</v>
      </c>
      <c r="DK12">
        <f t="shared" si="23"/>
        <v>0</v>
      </c>
      <c r="DL12">
        <f t="shared" si="23"/>
        <v>0</v>
      </c>
      <c r="DM12">
        <f t="shared" si="23"/>
        <v>0</v>
      </c>
      <c r="DN12">
        <f t="shared" si="23"/>
        <v>0</v>
      </c>
    </row>
    <row r="13" spans="1:118" x14ac:dyDescent="0.2">
      <c r="A13">
        <v>9</v>
      </c>
      <c r="B13">
        <v>28</v>
      </c>
      <c r="C13">
        <f t="shared" si="2"/>
        <v>0.64460891621779715</v>
      </c>
      <c r="D13">
        <f t="shared" si="3"/>
        <v>0.41552065486748302</v>
      </c>
      <c r="E13">
        <v>1.39E-3</v>
      </c>
      <c r="F13">
        <f t="shared" si="0"/>
        <v>0.99861</v>
      </c>
      <c r="G13" s="34">
        <f t="shared" si="5"/>
        <v>0.98934077820067856</v>
      </c>
      <c r="H13" s="34"/>
      <c r="I13">
        <v>129.33797242401971</v>
      </c>
      <c r="J13">
        <v>28</v>
      </c>
      <c r="K13" s="38">
        <f t="shared" si="6"/>
        <v>129.33797242401977</v>
      </c>
      <c r="L13" s="22">
        <f t="shared" si="1"/>
        <v>239.4387531972454</v>
      </c>
      <c r="M13" s="23">
        <f t="shared" si="4"/>
        <v>439.52824054796787</v>
      </c>
      <c r="T13" s="60">
        <v>93.55</v>
      </c>
      <c r="U13">
        <v>1.39E-3</v>
      </c>
      <c r="V13">
        <v>1.2195121951219513E-2</v>
      </c>
      <c r="W13">
        <v>3.9210560847676823E-2</v>
      </c>
      <c r="Z13">
        <f t="shared" si="10"/>
        <v>1.2700000000000001E-3</v>
      </c>
      <c r="AA13">
        <f t="shared" si="11"/>
        <v>0.99873000000000001</v>
      </c>
      <c r="AB13" s="34">
        <f t="shared" si="15"/>
        <v>0.99203728563828475</v>
      </c>
      <c r="AC13">
        <f t="shared" ref="AC13:CN13" si="24">AB14/AB$3</f>
        <v>0.99173936759701065</v>
      </c>
      <c r="AD13">
        <f t="shared" si="24"/>
        <v>0.99141174632715767</v>
      </c>
      <c r="AE13">
        <f t="shared" si="24"/>
        <v>0.99105444506709384</v>
      </c>
      <c r="AF13">
        <f t="shared" si="24"/>
        <v>0.99065757482569416</v>
      </c>
      <c r="AG13">
        <f t="shared" si="24"/>
        <v>0.99023108881502642</v>
      </c>
      <c r="AH13">
        <f t="shared" si="24"/>
        <v>0.98975519730475259</v>
      </c>
      <c r="AI13">
        <f t="shared" si="24"/>
        <v>0.98923987013665082</v>
      </c>
      <c r="AJ13">
        <f t="shared" si="24"/>
        <v>0.9886752524691752</v>
      </c>
      <c r="AK13">
        <f t="shared" si="24"/>
        <v>0.98806142058632718</v>
      </c>
      <c r="AL13">
        <f t="shared" si="24"/>
        <v>0.98738855643867285</v>
      </c>
      <c r="AM13">
        <f t="shared" si="24"/>
        <v>0.9866468802567856</v>
      </c>
      <c r="AN13">
        <f t="shared" si="24"/>
        <v>0.98583652514324227</v>
      </c>
      <c r="AO13">
        <f t="shared" si="24"/>
        <v>0.98494776137220252</v>
      </c>
      <c r="AP13">
        <f t="shared" si="24"/>
        <v>0.98397091453260144</v>
      </c>
      <c r="AQ13">
        <f t="shared" si="24"/>
        <v>0.98290620299298082</v>
      </c>
      <c r="AR13">
        <f t="shared" si="24"/>
        <v>0.98173418886301766</v>
      </c>
      <c r="AS13">
        <f t="shared" si="24"/>
        <v>0.98045519737571307</v>
      </c>
      <c r="AT13">
        <f t="shared" si="24"/>
        <v>0.97904994246226296</v>
      </c>
      <c r="AU13">
        <f t="shared" si="24"/>
        <v>0.97750908978058082</v>
      </c>
      <c r="AV13">
        <f t="shared" si="24"/>
        <v>0.97583319190257312</v>
      </c>
      <c r="AW13">
        <f t="shared" si="24"/>
        <v>0.97399351118941402</v>
      </c>
      <c r="AX13">
        <f t="shared" si="24"/>
        <v>0.97198108753387036</v>
      </c>
      <c r="AY13">
        <f t="shared" si="24"/>
        <v>0.96977735834263168</v>
      </c>
      <c r="AZ13">
        <f t="shared" si="24"/>
        <v>0.96736400857072646</v>
      </c>
      <c r="BA13">
        <f t="shared" si="24"/>
        <v>0.96473268991528827</v>
      </c>
      <c r="BB13">
        <f t="shared" si="24"/>
        <v>0.96185592677367293</v>
      </c>
      <c r="BC13">
        <f t="shared" si="24"/>
        <v>0.95869704310450876</v>
      </c>
      <c r="BD13">
        <f t="shared" si="24"/>
        <v>0.95524883905934455</v>
      </c>
      <c r="BE13">
        <f t="shared" si="24"/>
        <v>0.95148529534993687</v>
      </c>
      <c r="BF13">
        <f t="shared" si="24"/>
        <v>0.94738101405702613</v>
      </c>
      <c r="BG13">
        <f t="shared" si="24"/>
        <v>0.94290180638151933</v>
      </c>
      <c r="BH13">
        <f t="shared" si="24"/>
        <v>0.93800499553495531</v>
      </c>
      <c r="BI13">
        <f t="shared" si="24"/>
        <v>0.9326680689317588</v>
      </c>
      <c r="BJ13">
        <f t="shared" si="24"/>
        <v>0.9268601562879204</v>
      </c>
      <c r="BK13">
        <f t="shared" si="24"/>
        <v>0.92053317873481344</v>
      </c>
      <c r="BL13">
        <f t="shared" si="24"/>
        <v>0.91364106924759592</v>
      </c>
      <c r="BM13">
        <f t="shared" si="24"/>
        <v>0.90614003224382644</v>
      </c>
      <c r="BN13">
        <f t="shared" si="24"/>
        <v>0.89798882008371561</v>
      </c>
      <c r="BO13">
        <f t="shared" si="24"/>
        <v>0.88950334267574915</v>
      </c>
      <c r="BP13">
        <f t="shared" si="24"/>
        <v>0.8795396944653403</v>
      </c>
      <c r="BQ13">
        <f t="shared" si="24"/>
        <v>0.86912334182160733</v>
      </c>
      <c r="BR13">
        <f t="shared" si="24"/>
        <v>0.8578466828621456</v>
      </c>
      <c r="BS13">
        <f t="shared" si="24"/>
        <v>0.84564555326612167</v>
      </c>
      <c r="BT13">
        <f t="shared" si="24"/>
        <v>0.83247162649039985</v>
      </c>
      <c r="BU13">
        <f t="shared" si="24"/>
        <v>0.81825861344837059</v>
      </c>
      <c r="BV13">
        <f t="shared" si="24"/>
        <v>0.80263023162922931</v>
      </c>
      <c r="BW13">
        <f t="shared" si="24"/>
        <v>0.78650067867060325</v>
      </c>
      <c r="BX13">
        <f t="shared" si="24"/>
        <v>0.7688508984184631</v>
      </c>
      <c r="BY13">
        <f t="shared" si="24"/>
        <v>0.74995010900856063</v>
      </c>
      <c r="BZ13">
        <f t="shared" si="24"/>
        <v>0.72976333895697054</v>
      </c>
      <c r="CA13">
        <f t="shared" si="24"/>
        <v>0.70825131483637571</v>
      </c>
      <c r="CB13">
        <f t="shared" si="24"/>
        <v>0.68538861493333147</v>
      </c>
      <c r="CC13">
        <f t="shared" si="24"/>
        <v>0.66116685938777942</v>
      </c>
      <c r="CD13">
        <f t="shared" si="24"/>
        <v>0.63559648853239326</v>
      </c>
      <c r="CE13">
        <f t="shared" si="24"/>
        <v>0.6086899330080241</v>
      </c>
      <c r="CF13">
        <f t="shared" si="24"/>
        <v>0.58049908628310032</v>
      </c>
      <c r="CG13">
        <f t="shared" si="24"/>
        <v>0.55108437629486973</v>
      </c>
      <c r="CH13">
        <f t="shared" si="24"/>
        <v>0.52053840220170711</v>
      </c>
      <c r="CI13">
        <f t="shared" si="24"/>
        <v>0.48899231158437728</v>
      </c>
      <c r="CJ13">
        <f t="shared" si="24"/>
        <v>0.45659480274942948</v>
      </c>
      <c r="CK13">
        <f t="shared" si="24"/>
        <v>0.42353549219698355</v>
      </c>
      <c r="CL13">
        <f t="shared" si="24"/>
        <v>0.39003275591760206</v>
      </c>
      <c r="CM13">
        <f t="shared" si="24"/>
        <v>0.35633362219498105</v>
      </c>
      <c r="CN13">
        <f t="shared" si="24"/>
        <v>0.322721971523729</v>
      </c>
      <c r="CO13">
        <f t="shared" ref="CO13:DN13" si="25">CN14/CN$3</f>
        <v>0.28949978889933659</v>
      </c>
      <c r="CP13">
        <f t="shared" si="25"/>
        <v>0.25699132622693616</v>
      </c>
      <c r="CQ13">
        <f t="shared" si="25"/>
        <v>0.22552469816188064</v>
      </c>
      <c r="CR13">
        <f t="shared" si="25"/>
        <v>0.1954304176602471</v>
      </c>
      <c r="CS13">
        <f t="shared" si="25"/>
        <v>0.16702963450844066</v>
      </c>
      <c r="CT13">
        <f t="shared" si="25"/>
        <v>0.14060812379103907</v>
      </c>
      <c r="CU13">
        <f t="shared" si="25"/>
        <v>0.1164168638061823</v>
      </c>
      <c r="CV13">
        <f t="shared" si="25"/>
        <v>9.4648094839845792E-2</v>
      </c>
      <c r="CW13">
        <f t="shared" si="25"/>
        <v>7.5428348117902638E-2</v>
      </c>
      <c r="CX13">
        <f t="shared" si="25"/>
        <v>5.880935095506E-2</v>
      </c>
      <c r="CY13">
        <f t="shared" si="25"/>
        <v>4.4764697565749106E-2</v>
      </c>
      <c r="CZ13">
        <f t="shared" si="25"/>
        <v>3.3188426711177103E-2</v>
      </c>
      <c r="DA13">
        <f t="shared" si="25"/>
        <v>2.3905878321568312E-2</v>
      </c>
      <c r="DB13">
        <f t="shared" si="25"/>
        <v>1.6682790827033771E-2</v>
      </c>
      <c r="DC13">
        <f t="shared" si="25"/>
        <v>1.1245140456755705E-2</v>
      </c>
      <c r="DD13">
        <f t="shared" si="25"/>
        <v>7.2966410737228789E-3</v>
      </c>
      <c r="DE13">
        <f t="shared" si="25"/>
        <v>4.5411074980005392E-3</v>
      </c>
      <c r="DF13">
        <f t="shared" si="25"/>
        <v>2.6997929937732429E-3</v>
      </c>
      <c r="DG13">
        <f t="shared" si="25"/>
        <v>1.5270547234451002E-3</v>
      </c>
      <c r="DH13">
        <f t="shared" si="25"/>
        <v>8.1724752599216519E-4</v>
      </c>
      <c r="DI13">
        <f t="shared" si="25"/>
        <v>0</v>
      </c>
      <c r="DJ13">
        <f t="shared" si="25"/>
        <v>0</v>
      </c>
      <c r="DK13">
        <f t="shared" si="25"/>
        <v>0</v>
      </c>
      <c r="DL13">
        <f t="shared" si="25"/>
        <v>0</v>
      </c>
      <c r="DM13">
        <f t="shared" si="25"/>
        <v>0</v>
      </c>
      <c r="DN13">
        <f t="shared" si="25"/>
        <v>0</v>
      </c>
    </row>
    <row r="14" spans="1:118" x14ac:dyDescent="0.2">
      <c r="A14">
        <v>10</v>
      </c>
      <c r="B14">
        <v>29</v>
      </c>
      <c r="C14">
        <f t="shared" si="2"/>
        <v>0.6139132535407591</v>
      </c>
      <c r="D14">
        <f t="shared" si="3"/>
        <v>0.37688948287300034</v>
      </c>
      <c r="E14">
        <v>1.4599999999999999E-3</v>
      </c>
      <c r="F14">
        <f t="shared" si="0"/>
        <v>0.99853999999999998</v>
      </c>
      <c r="G14" s="34">
        <f t="shared" si="5"/>
        <v>0.9878963406645056</v>
      </c>
      <c r="H14" s="34"/>
      <c r="I14">
        <v>134.60196778043556</v>
      </c>
      <c r="J14">
        <v>29</v>
      </c>
      <c r="K14" s="38">
        <f t="shared" si="6"/>
        <v>134.60196778043553</v>
      </c>
      <c r="L14" s="22">
        <f t="shared" si="1"/>
        <v>242.1688475343559</v>
      </c>
      <c r="M14" s="23">
        <f t="shared" si="4"/>
        <v>439.52824054796787</v>
      </c>
      <c r="T14" s="60">
        <v>97.91</v>
      </c>
      <c r="U14">
        <v>1.4599999999999999E-3</v>
      </c>
      <c r="V14">
        <v>1.2345679012345678E-2</v>
      </c>
      <c r="W14">
        <v>3.9210560847676823E-2</v>
      </c>
      <c r="Z14">
        <f t="shared" si="10"/>
        <v>1.33E-3</v>
      </c>
      <c r="AA14">
        <f t="shared" si="11"/>
        <v>0.99866999999999995</v>
      </c>
      <c r="AB14" s="34">
        <f t="shared" si="15"/>
        <v>0.99071787604838579</v>
      </c>
      <c r="AC14">
        <f t="shared" ref="AC14:CN14" si="26">AB15/AB$3</f>
        <v>0.99036084987605089</v>
      </c>
      <c r="AD14">
        <f t="shared" si="26"/>
        <v>0.98996428517752</v>
      </c>
      <c r="AE14">
        <f t="shared" si="26"/>
        <v>0.98953813176614114</v>
      </c>
      <c r="AF14">
        <f t="shared" si="26"/>
        <v>0.98906261613022473</v>
      </c>
      <c r="AG14">
        <f t="shared" si="26"/>
        <v>0.9885476959640408</v>
      </c>
      <c r="AH14">
        <f t="shared" si="26"/>
        <v>0.98798353550157725</v>
      </c>
      <c r="AI14">
        <f t="shared" si="26"/>
        <v>0.98736031438339111</v>
      </c>
      <c r="AJ14">
        <f t="shared" si="26"/>
        <v>0.98668801521171223</v>
      </c>
      <c r="AK14">
        <f t="shared" si="26"/>
        <v>0.98594696914627233</v>
      </c>
      <c r="AL14">
        <f t="shared" si="26"/>
        <v>0.98513731052999265</v>
      </c>
      <c r="AM14">
        <f t="shared" si="26"/>
        <v>0.98424932833776169</v>
      </c>
      <c r="AN14">
        <f t="shared" si="26"/>
        <v>0.98327335017786976</v>
      </c>
      <c r="AO14">
        <f t="shared" si="26"/>
        <v>0.98220960659558809</v>
      </c>
      <c r="AP14">
        <f t="shared" si="26"/>
        <v>0.98103868120729409</v>
      </c>
      <c r="AQ14">
        <f t="shared" si="26"/>
        <v>0.97976090314340303</v>
      </c>
      <c r="AR14">
        <f t="shared" si="26"/>
        <v>0.97835702325332896</v>
      </c>
      <c r="AS14">
        <f t="shared" si="26"/>
        <v>0.97681770859344907</v>
      </c>
      <c r="AT14">
        <f t="shared" si="26"/>
        <v>0.97513374269241393</v>
      </c>
      <c r="AU14">
        <f t="shared" si="26"/>
        <v>0.97329602560362638</v>
      </c>
      <c r="AV14">
        <f t="shared" si="26"/>
        <v>0.97128580922830743</v>
      </c>
      <c r="AW14">
        <f t="shared" si="26"/>
        <v>0.96908458389301944</v>
      </c>
      <c r="AX14">
        <f t="shared" si="26"/>
        <v>0.96667407079593526</v>
      </c>
      <c r="AY14">
        <f t="shared" si="26"/>
        <v>0.96403627638124312</v>
      </c>
      <c r="AZ14">
        <f t="shared" si="26"/>
        <v>0.96115353163570261</v>
      </c>
      <c r="BA14">
        <f t="shared" si="26"/>
        <v>0.95800850306657825</v>
      </c>
      <c r="BB14">
        <f t="shared" si="26"/>
        <v>0.95456505884872833</v>
      </c>
      <c r="BC14">
        <f t="shared" si="26"/>
        <v>0.95079737946932796</v>
      </c>
      <c r="BD14">
        <f t="shared" si="26"/>
        <v>0.94668980946137316</v>
      </c>
      <c r="BE14">
        <f t="shared" si="26"/>
        <v>0.94220831372027469</v>
      </c>
      <c r="BF14">
        <f t="shared" si="26"/>
        <v>0.93731982768774069</v>
      </c>
      <c r="BG14">
        <f t="shared" si="26"/>
        <v>0.93198300346362095</v>
      </c>
      <c r="BH14">
        <f t="shared" si="26"/>
        <v>0.92616737249130443</v>
      </c>
      <c r="BI14">
        <f t="shared" si="26"/>
        <v>0.91983455630325794</v>
      </c>
      <c r="BJ14">
        <f t="shared" si="26"/>
        <v>0.91294798534203858</v>
      </c>
      <c r="BK14">
        <f t="shared" si="26"/>
        <v>0.90545484526713749</v>
      </c>
      <c r="BL14">
        <f t="shared" si="26"/>
        <v>0.89730516692944906</v>
      </c>
      <c r="BM14">
        <f t="shared" si="26"/>
        <v>0.88845217881442662</v>
      </c>
      <c r="BN14">
        <f t="shared" si="26"/>
        <v>0.8792028939675639</v>
      </c>
      <c r="BO14">
        <f t="shared" si="26"/>
        <v>0.86843990352118772</v>
      </c>
      <c r="BP14">
        <f t="shared" si="26"/>
        <v>0.85716420463814202</v>
      </c>
      <c r="BQ14">
        <f t="shared" si="26"/>
        <v>0.84497040415238478</v>
      </c>
      <c r="BR14">
        <f t="shared" si="26"/>
        <v>0.83179387910362268</v>
      </c>
      <c r="BS14">
        <f t="shared" si="26"/>
        <v>0.81758703380875153</v>
      </c>
      <c r="BT14">
        <f t="shared" si="26"/>
        <v>0.80228620531385841</v>
      </c>
      <c r="BU14">
        <f t="shared" si="26"/>
        <v>0.78583920718354583</v>
      </c>
      <c r="BV14">
        <f t="shared" si="26"/>
        <v>0.76787634259968329</v>
      </c>
      <c r="BW14">
        <f t="shared" si="26"/>
        <v>0.74929133156269734</v>
      </c>
      <c r="BX14">
        <f t="shared" si="26"/>
        <v>0.72910899547921271</v>
      </c>
      <c r="BY14">
        <f t="shared" si="26"/>
        <v>0.70760042635284737</v>
      </c>
      <c r="BZ14">
        <f t="shared" si="26"/>
        <v>0.68475153621010476</v>
      </c>
      <c r="CA14">
        <f t="shared" si="26"/>
        <v>0.66053642375584887</v>
      </c>
      <c r="CB14">
        <f t="shared" si="26"/>
        <v>0.63497142841883558</v>
      </c>
      <c r="CC14">
        <f t="shared" si="26"/>
        <v>0.60807516057894062</v>
      </c>
      <c r="CD14">
        <f t="shared" si="26"/>
        <v>0.57989281227741452</v>
      </c>
      <c r="CE14">
        <f t="shared" si="26"/>
        <v>0.55049308851312684</v>
      </c>
      <c r="CF14">
        <f t="shared" si="26"/>
        <v>0.51996464156549838</v>
      </c>
      <c r="CG14">
        <f t="shared" si="26"/>
        <v>0.48843159355390586</v>
      </c>
      <c r="CH14">
        <f t="shared" si="26"/>
        <v>0.45604889955293776</v>
      </c>
      <c r="CI14">
        <f t="shared" si="26"/>
        <v>0.42300768905918146</v>
      </c>
      <c r="CJ14">
        <f t="shared" si="26"/>
        <v>0.38952559217356575</v>
      </c>
      <c r="CK14">
        <f t="shared" si="26"/>
        <v>0.35585028518898343</v>
      </c>
      <c r="CL14">
        <f t="shared" si="26"/>
        <v>0.32226456457691893</v>
      </c>
      <c r="CM14">
        <f t="shared" si="26"/>
        <v>0.28906852433323454</v>
      </c>
      <c r="CN14">
        <f t="shared" si="26"/>
        <v>0.25658655789937101</v>
      </c>
      <c r="CO14">
        <f t="shared" ref="CO14:DN14" si="27">CN15/CN$3</f>
        <v>0.22515267082068102</v>
      </c>
      <c r="CP14">
        <f t="shared" si="27"/>
        <v>0.19509239539191645</v>
      </c>
      <c r="CQ14">
        <f t="shared" si="27"/>
        <v>0.16672364361013342</v>
      </c>
      <c r="CR14">
        <f t="shared" si="27"/>
        <v>0.14033662861764676</v>
      </c>
      <c r="CS14">
        <f t="shared" si="27"/>
        <v>0.11617746228234604</v>
      </c>
      <c r="CT14">
        <f t="shared" si="27"/>
        <v>9.4440852425489261E-2</v>
      </c>
      <c r="CU14">
        <f t="shared" si="27"/>
        <v>7.5251860764316184E-2</v>
      </c>
      <c r="CV14">
        <f t="shared" si="27"/>
        <v>5.866288918173642E-2</v>
      </c>
      <c r="CW14">
        <f t="shared" si="27"/>
        <v>4.4644530684024242E-2</v>
      </c>
      <c r="CX14">
        <f t="shared" si="27"/>
        <v>3.3093197969431339E-2</v>
      </c>
      <c r="CY14">
        <f t="shared" si="27"/>
        <v>2.383227733702916E-2</v>
      </c>
      <c r="CZ14">
        <f t="shared" si="27"/>
        <v>1.6627733666566839E-2</v>
      </c>
      <c r="DA14">
        <f t="shared" si="27"/>
        <v>1.1205163286885502E-2</v>
      </c>
      <c r="DB14">
        <f t="shared" si="27"/>
        <v>7.268858791246887E-3</v>
      </c>
      <c r="DC14">
        <f t="shared" si="27"/>
        <v>4.5224581374934403E-3</v>
      </c>
      <c r="DD14">
        <f t="shared" si="27"/>
        <v>2.6877907059165589E-3</v>
      </c>
      <c r="DE14">
        <f t="shared" si="27"/>
        <v>1.5192275134560795E-3</v>
      </c>
      <c r="DF14">
        <f t="shared" si="27"/>
        <v>8.129886642149368E-4</v>
      </c>
      <c r="DG14">
        <f t="shared" si="27"/>
        <v>4.0944918299733467E-4</v>
      </c>
      <c r="DH14">
        <f t="shared" si="27"/>
        <v>0</v>
      </c>
      <c r="DI14">
        <f t="shared" si="27"/>
        <v>0</v>
      </c>
      <c r="DJ14">
        <f t="shared" si="27"/>
        <v>0</v>
      </c>
      <c r="DK14">
        <f t="shared" si="27"/>
        <v>0</v>
      </c>
      <c r="DL14">
        <f t="shared" si="27"/>
        <v>0</v>
      </c>
      <c r="DM14">
        <f t="shared" si="27"/>
        <v>0</v>
      </c>
      <c r="DN14">
        <f t="shared" si="27"/>
        <v>0</v>
      </c>
    </row>
    <row r="15" spans="1:118" x14ac:dyDescent="0.2">
      <c r="A15">
        <v>11</v>
      </c>
      <c r="B15">
        <v>30</v>
      </c>
      <c r="C15">
        <f t="shared" si="2"/>
        <v>0.58467928908643729</v>
      </c>
      <c r="D15">
        <f t="shared" si="3"/>
        <v>0.34184987108662174</v>
      </c>
      <c r="E15">
        <v>1.5300000000000001E-3</v>
      </c>
      <c r="F15">
        <f t="shared" si="0"/>
        <v>0.99846999999999997</v>
      </c>
      <c r="G15" s="34">
        <f t="shared" si="5"/>
        <v>0.98638485926328889</v>
      </c>
      <c r="H15" s="34"/>
      <c r="I15">
        <v>140.07657797329836</v>
      </c>
      <c r="J15">
        <v>30</v>
      </c>
      <c r="K15" s="38">
        <f t="shared" si="6"/>
        <v>140.07657797329833</v>
      </c>
      <c r="L15" s="22">
        <f t="shared" si="1"/>
        <v>244.95575603496215</v>
      </c>
      <c r="M15" s="23">
        <f t="shared" si="4"/>
        <v>439.52824054796787</v>
      </c>
      <c r="T15" s="58">
        <v>102.48</v>
      </c>
      <c r="U15">
        <v>1.5300000000000001E-3</v>
      </c>
      <c r="V15">
        <v>1.2500000000000001E-2</v>
      </c>
      <c r="W15">
        <v>3.9210560847676823E-2</v>
      </c>
      <c r="Z15">
        <f t="shared" si="10"/>
        <v>1.39E-3</v>
      </c>
      <c r="AA15">
        <f t="shared" si="11"/>
        <v>0.99861</v>
      </c>
      <c r="AB15" s="34">
        <f t="shared" si="15"/>
        <v>0.98934077820067856</v>
      </c>
      <c r="AC15">
        <f t="shared" ref="AC15:CN15" si="28">AB16/AB$3</f>
        <v>0.98891492303523187</v>
      </c>
      <c r="AD15">
        <f t="shared" si="28"/>
        <v>0.98844963982119838</v>
      </c>
      <c r="AE15">
        <f t="shared" si="28"/>
        <v>0.98794497537399761</v>
      </c>
      <c r="AF15">
        <f t="shared" si="28"/>
        <v>0.9873812096828033</v>
      </c>
      <c r="AG15">
        <f t="shared" si="28"/>
        <v>0.98677819558826529</v>
      </c>
      <c r="AH15">
        <f t="shared" si="28"/>
        <v>0.98610636678412422</v>
      </c>
      <c r="AI15">
        <f t="shared" si="28"/>
        <v>0.98537572015148056</v>
      </c>
      <c r="AJ15">
        <f t="shared" si="28"/>
        <v>0.98457650285915899</v>
      </c>
      <c r="AK15">
        <f t="shared" si="28"/>
        <v>0.98369901005661886</v>
      </c>
      <c r="AL15">
        <f t="shared" si="28"/>
        <v>0.98274342686540483</v>
      </c>
      <c r="AM15">
        <f t="shared" si="28"/>
        <v>0.98169028008408343</v>
      </c>
      <c r="AN15">
        <f t="shared" si="28"/>
        <v>0.98053985026437551</v>
      </c>
      <c r="AO15">
        <f t="shared" si="28"/>
        <v>0.97928262196793303</v>
      </c>
      <c r="AP15">
        <f t="shared" si="28"/>
        <v>0.9778993574274305</v>
      </c>
      <c r="AQ15">
        <f t="shared" si="28"/>
        <v>0.97639052563658979</v>
      </c>
      <c r="AR15">
        <f t="shared" si="28"/>
        <v>0.97472731869705909</v>
      </c>
      <c r="AS15">
        <f t="shared" si="28"/>
        <v>0.97291043775907526</v>
      </c>
      <c r="AT15">
        <f t="shared" si="28"/>
        <v>0.97093091626140948</v>
      </c>
      <c r="AU15">
        <f t="shared" si="28"/>
        <v>0.96876046612431377</v>
      </c>
      <c r="AV15">
        <f t="shared" si="28"/>
        <v>0.96639052874979681</v>
      </c>
      <c r="AW15">
        <f t="shared" si="28"/>
        <v>0.96379338206496334</v>
      </c>
      <c r="AX15">
        <f t="shared" si="28"/>
        <v>0.96095136029682315</v>
      </c>
      <c r="AY15">
        <f t="shared" si="28"/>
        <v>0.95784716348687582</v>
      </c>
      <c r="AZ15">
        <f t="shared" si="28"/>
        <v>0.95445429152020123</v>
      </c>
      <c r="BA15">
        <f t="shared" si="28"/>
        <v>0.95074679861333344</v>
      </c>
      <c r="BB15">
        <f t="shared" si="28"/>
        <v>0.94669944276381512</v>
      </c>
      <c r="BC15">
        <f t="shared" si="28"/>
        <v>0.9422782349492832</v>
      </c>
      <c r="BD15">
        <f t="shared" si="28"/>
        <v>0.93745958381912442</v>
      </c>
      <c r="BE15">
        <f t="shared" si="28"/>
        <v>0.93220206142856565</v>
      </c>
      <c r="BF15">
        <f t="shared" si="28"/>
        <v>0.92646566408311626</v>
      </c>
      <c r="BG15">
        <f t="shared" si="28"/>
        <v>0.92022137795991032</v>
      </c>
      <c r="BH15">
        <f t="shared" si="28"/>
        <v>0.91342330944582417</v>
      </c>
      <c r="BI15">
        <f t="shared" si="28"/>
        <v>0.90602783961314592</v>
      </c>
      <c r="BJ15">
        <f t="shared" si="28"/>
        <v>0.8979938973421363</v>
      </c>
      <c r="BK15">
        <f t="shared" si="28"/>
        <v>0.88926531263376118</v>
      </c>
      <c r="BL15">
        <f t="shared" si="28"/>
        <v>0.87978977007098591</v>
      </c>
      <c r="BM15">
        <f t="shared" si="28"/>
        <v>0.86986575923362841</v>
      </c>
      <c r="BN15">
        <f t="shared" si="28"/>
        <v>0.85838336943841231</v>
      </c>
      <c r="BO15">
        <f t="shared" si="28"/>
        <v>0.84634679237560873</v>
      </c>
      <c r="BP15">
        <f t="shared" si="28"/>
        <v>0.83334361139124802</v>
      </c>
      <c r="BQ15">
        <f t="shared" si="28"/>
        <v>0.81930865297827737</v>
      </c>
      <c r="BR15">
        <f t="shared" si="28"/>
        <v>0.80419495819496423</v>
      </c>
      <c r="BS15">
        <f t="shared" si="28"/>
        <v>0.78794132796284666</v>
      </c>
      <c r="BT15">
        <f t="shared" si="28"/>
        <v>0.77049962585932308</v>
      </c>
      <c r="BU15">
        <f t="shared" si="28"/>
        <v>0.75181236951249786</v>
      </c>
      <c r="BV15">
        <f t="shared" si="28"/>
        <v>0.73154811283129262</v>
      </c>
      <c r="BW15">
        <f t="shared" si="28"/>
        <v>0.71056046263422157</v>
      </c>
      <c r="BX15">
        <f t="shared" si="28"/>
        <v>0.68793621050450171</v>
      </c>
      <c r="BY15">
        <f t="shared" si="28"/>
        <v>0.66395563205540387</v>
      </c>
      <c r="BZ15">
        <f t="shared" si="28"/>
        <v>0.63861982521562977</v>
      </c>
      <c r="CA15">
        <f t="shared" si="28"/>
        <v>0.61194736442436859</v>
      </c>
      <c r="CB15">
        <f t="shared" si="28"/>
        <v>0.58398322271680303</v>
      </c>
      <c r="CC15">
        <f t="shared" si="28"/>
        <v>0.55478345350580249</v>
      </c>
      <c r="CD15">
        <f t="shared" si="28"/>
        <v>0.52444926049557083</v>
      </c>
      <c r="CE15">
        <f t="shared" si="28"/>
        <v>0.49308766924297776</v>
      </c>
      <c r="CF15">
        <f t="shared" si="28"/>
        <v>0.46084986146591678</v>
      </c>
      <c r="CG15">
        <f t="shared" si="28"/>
        <v>0.4279198034285126</v>
      </c>
      <c r="CH15">
        <f t="shared" si="28"/>
        <v>0.39450966104726437</v>
      </c>
      <c r="CI15">
        <f t="shared" si="28"/>
        <v>0.36087208961327827</v>
      </c>
      <c r="CJ15">
        <f t="shared" si="28"/>
        <v>0.32727550728830807</v>
      </c>
      <c r="CK15">
        <f t="shared" si="28"/>
        <v>0.2940212981373978</v>
      </c>
      <c r="CL15">
        <f t="shared" si="28"/>
        <v>0.26143068272173398</v>
      </c>
      <c r="CM15">
        <f t="shared" si="28"/>
        <v>0.22982971164162461</v>
      </c>
      <c r="CN15">
        <f t="shared" si="28"/>
        <v>0.1995550636750778</v>
      </c>
      <c r="CO15">
        <f t="shared" ref="CO15:DN15" si="29">CN16/CN$3</f>
        <v>0.1709223985268119</v>
      </c>
      <c r="CP15">
        <f t="shared" si="29"/>
        <v>0.14422595514138201</v>
      </c>
      <c r="CQ15">
        <f t="shared" si="29"/>
        <v>0.11972258124000064</v>
      </c>
      <c r="CR15">
        <f t="shared" si="29"/>
        <v>9.7611142035004317E-2</v>
      </c>
      <c r="CS15">
        <f t="shared" si="29"/>
        <v>7.8031754316560509E-2</v>
      </c>
      <c r="CT15">
        <f t="shared" si="29"/>
        <v>6.1046567007836221E-2</v>
      </c>
      <c r="CU15">
        <f t="shared" si="29"/>
        <v>4.664110330172317E-2</v>
      </c>
      <c r="CV15">
        <f t="shared" si="29"/>
        <v>3.4721390848886174E-2</v>
      </c>
      <c r="CW15">
        <f t="shared" si="29"/>
        <v>2.5122370306514104E-2</v>
      </c>
      <c r="CX15">
        <f t="shared" si="29"/>
        <v>1.7618487666945546E-2</v>
      </c>
      <c r="CY15">
        <f t="shared" si="29"/>
        <v>1.194020926862498E-2</v>
      </c>
      <c r="CZ15">
        <f t="shared" si="29"/>
        <v>7.7937513241932111E-3</v>
      </c>
      <c r="DA15">
        <f t="shared" si="29"/>
        <v>4.8822016957288843E-3</v>
      </c>
      <c r="DB15">
        <f t="shared" si="29"/>
        <v>2.9233169400757599E-3</v>
      </c>
      <c r="DC15">
        <f t="shared" si="29"/>
        <v>1.6658926795270832E-3</v>
      </c>
      <c r="DD15">
        <f t="shared" si="29"/>
        <v>8.9920038066438419E-4</v>
      </c>
      <c r="DE15">
        <f t="shared" si="29"/>
        <v>4.5748498112702931E-4</v>
      </c>
      <c r="DF15">
        <f t="shared" si="29"/>
        <v>2.1798665053595096E-4</v>
      </c>
      <c r="DG15">
        <f t="shared" si="29"/>
        <v>0</v>
      </c>
      <c r="DH15">
        <f t="shared" si="29"/>
        <v>0</v>
      </c>
      <c r="DI15">
        <f t="shared" si="29"/>
        <v>0</v>
      </c>
      <c r="DJ15">
        <f t="shared" si="29"/>
        <v>0</v>
      </c>
      <c r="DK15">
        <f t="shared" si="29"/>
        <v>0</v>
      </c>
      <c r="DL15">
        <f t="shared" si="29"/>
        <v>0</v>
      </c>
      <c r="DM15">
        <f t="shared" si="29"/>
        <v>0</v>
      </c>
      <c r="DN15">
        <f t="shared" si="29"/>
        <v>0</v>
      </c>
    </row>
    <row r="16" spans="1:118" x14ac:dyDescent="0.2">
      <c r="A16">
        <v>12</v>
      </c>
      <c r="B16">
        <v>31</v>
      </c>
      <c r="C16">
        <f t="shared" si="2"/>
        <v>0.55683741817755927</v>
      </c>
      <c r="D16">
        <f t="shared" si="3"/>
        <v>0.31006791028265002</v>
      </c>
      <c r="E16">
        <v>1.6100000000000001E-3</v>
      </c>
      <c r="F16">
        <f t="shared" si="0"/>
        <v>0.99839</v>
      </c>
      <c r="G16" s="34">
        <f t="shared" si="5"/>
        <v>0.984796779639875</v>
      </c>
      <c r="H16" s="34"/>
      <c r="I16">
        <v>145.77344023552357</v>
      </c>
      <c r="J16">
        <v>31</v>
      </c>
      <c r="K16" s="38">
        <f t="shared" si="6"/>
        <v>145.77344023552362</v>
      </c>
      <c r="L16" s="22">
        <f t="shared" si="1"/>
        <v>247.80105704983313</v>
      </c>
      <c r="M16" s="23">
        <f t="shared" si="4"/>
        <v>439.52824054796787</v>
      </c>
      <c r="T16" s="59">
        <v>107.27</v>
      </c>
      <c r="U16">
        <v>1.6100000000000001E-3</v>
      </c>
      <c r="V16">
        <v>1.2658227848101266E-2</v>
      </c>
      <c r="W16">
        <v>3.9210560847676823E-2</v>
      </c>
      <c r="Z16">
        <f t="shared" si="10"/>
        <v>1.4599999999999999E-3</v>
      </c>
      <c r="AA16">
        <f t="shared" si="11"/>
        <v>0.99853999999999998</v>
      </c>
      <c r="AB16" s="34">
        <f t="shared" si="15"/>
        <v>0.9878963406645056</v>
      </c>
      <c r="AC16">
        <f t="shared" ref="AC16:CN16" si="30">AB17/AB$3</f>
        <v>0.98740188320298794</v>
      </c>
      <c r="AD16">
        <f t="shared" si="30"/>
        <v>0.98685823590108623</v>
      </c>
      <c r="AE16">
        <f t="shared" si="30"/>
        <v>0.98626546891586175</v>
      </c>
      <c r="AF16">
        <f t="shared" si="30"/>
        <v>0.98561379731747123</v>
      </c>
      <c r="AG16">
        <f t="shared" si="30"/>
        <v>0.98490331701664757</v>
      </c>
      <c r="AH16">
        <f t="shared" si="30"/>
        <v>0.98412429298688819</v>
      </c>
      <c r="AI16">
        <f t="shared" si="30"/>
        <v>0.98326701611035627</v>
      </c>
      <c r="AJ16">
        <f t="shared" si="30"/>
        <v>0.98233166843264019</v>
      </c>
      <c r="AK16">
        <f t="shared" si="30"/>
        <v>0.98130862146218134</v>
      </c>
      <c r="AL16">
        <f t="shared" si="30"/>
        <v>0.98018829395555473</v>
      </c>
      <c r="AM16">
        <f t="shared" si="30"/>
        <v>0.97896118110544983</v>
      </c>
      <c r="AN16">
        <f t="shared" si="30"/>
        <v>0.9776178415105875</v>
      </c>
      <c r="AO16">
        <f t="shared" si="30"/>
        <v>0.97614891757763544</v>
      </c>
      <c r="AP16">
        <f t="shared" si="30"/>
        <v>0.97453538363788028</v>
      </c>
      <c r="AQ16">
        <f t="shared" si="30"/>
        <v>0.97276811678647801</v>
      </c>
      <c r="AR16">
        <f t="shared" si="30"/>
        <v>0.97082840942227078</v>
      </c>
      <c r="AS16">
        <f t="shared" si="30"/>
        <v>0.96871719377233356</v>
      </c>
      <c r="AT16">
        <f t="shared" si="30"/>
        <v>0.96640637819163167</v>
      </c>
      <c r="AU16">
        <f t="shared" si="30"/>
        <v>0.96387791337504725</v>
      </c>
      <c r="AV16">
        <f t="shared" si="30"/>
        <v>0.96111403646282279</v>
      </c>
      <c r="AW16">
        <f t="shared" si="30"/>
        <v>0.95808772524313868</v>
      </c>
      <c r="AX16">
        <f t="shared" si="30"/>
        <v>0.95478205256371784</v>
      </c>
      <c r="AY16">
        <f t="shared" si="30"/>
        <v>0.95117096875737173</v>
      </c>
      <c r="AZ16">
        <f t="shared" si="30"/>
        <v>0.94721952799047804</v>
      </c>
      <c r="BA16">
        <f t="shared" si="30"/>
        <v>0.94291264499275984</v>
      </c>
      <c r="BB16">
        <f t="shared" si="30"/>
        <v>0.93821701575665173</v>
      </c>
      <c r="BC16">
        <f t="shared" si="30"/>
        <v>0.93309102215852735</v>
      </c>
      <c r="BD16">
        <f t="shared" si="30"/>
        <v>0.92750376303896565</v>
      </c>
      <c r="BE16">
        <f t="shared" si="30"/>
        <v>0.92140716155722246</v>
      </c>
      <c r="BF16">
        <f t="shared" si="30"/>
        <v>0.91477366740238764</v>
      </c>
      <c r="BG16">
        <f t="shared" si="30"/>
        <v>0.90755913179918202</v>
      </c>
      <c r="BH16">
        <f t="shared" si="30"/>
        <v>0.89971282557104226</v>
      </c>
      <c r="BI16">
        <f t="shared" si="30"/>
        <v>0.89118710360028286</v>
      </c>
      <c r="BJ16">
        <f t="shared" si="30"/>
        <v>0.88193776645765898</v>
      </c>
      <c r="BK16">
        <f t="shared" si="30"/>
        <v>0.87190685373114996</v>
      </c>
      <c r="BL16">
        <f t="shared" si="30"/>
        <v>0.86138456808110053</v>
      </c>
      <c r="BM16">
        <f t="shared" si="30"/>
        <v>0.84926733805497645</v>
      </c>
      <c r="BN16">
        <f t="shared" si="30"/>
        <v>0.8365460965198992</v>
      </c>
      <c r="BO16">
        <f t="shared" si="30"/>
        <v>0.82282681501549049</v>
      </c>
      <c r="BP16">
        <f t="shared" si="30"/>
        <v>0.80803496591329627</v>
      </c>
      <c r="BQ16">
        <f t="shared" si="30"/>
        <v>0.79212399187245786</v>
      </c>
      <c r="BR16">
        <f t="shared" si="30"/>
        <v>0.77503484901081532</v>
      </c>
      <c r="BS16">
        <f t="shared" si="30"/>
        <v>0.75672309254895842</v>
      </c>
      <c r="BT16">
        <f t="shared" si="30"/>
        <v>0.73713699205961392</v>
      </c>
      <c r="BU16">
        <f t="shared" si="30"/>
        <v>0.71624412631086198</v>
      </c>
      <c r="BV16">
        <f t="shared" si="30"/>
        <v>0.69373439087904321</v>
      </c>
      <c r="BW16">
        <f t="shared" si="30"/>
        <v>0.67043511330926719</v>
      </c>
      <c r="BX16">
        <f t="shared" si="30"/>
        <v>0.6455043050405842</v>
      </c>
      <c r="BY16">
        <f t="shared" si="30"/>
        <v>0.61922494112383109</v>
      </c>
      <c r="BZ16">
        <f t="shared" si="30"/>
        <v>0.59164295087276808</v>
      </c>
      <c r="CA16">
        <f t="shared" si="30"/>
        <v>0.56280799106109181</v>
      </c>
      <c r="CB16">
        <f t="shared" si="30"/>
        <v>0.53280293307790261</v>
      </c>
      <c r="CC16">
        <f t="shared" si="30"/>
        <v>0.5017406075161126</v>
      </c>
      <c r="CD16">
        <f t="shared" si="30"/>
        <v>0.46975969161109249</v>
      </c>
      <c r="CE16">
        <f t="shared" si="30"/>
        <v>0.43702853212674353</v>
      </c>
      <c r="CF16">
        <f t="shared" si="30"/>
        <v>0.40375517212890449</v>
      </c>
      <c r="CG16">
        <f t="shared" si="30"/>
        <v>0.37017630515386912</v>
      </c>
      <c r="CH16">
        <f t="shared" si="30"/>
        <v>0.33656013693603171</v>
      </c>
      <c r="CI16">
        <f t="shared" si="30"/>
        <v>0.30320112097218016</v>
      </c>
      <c r="CJ16">
        <f t="shared" si="30"/>
        <v>0.27041138789696473</v>
      </c>
      <c r="CK16">
        <f t="shared" si="30"/>
        <v>0.23851889768800125</v>
      </c>
      <c r="CL16">
        <f t="shared" si="30"/>
        <v>0.20785569291156888</v>
      </c>
      <c r="CM16">
        <f t="shared" si="30"/>
        <v>0.17874546163504068</v>
      </c>
      <c r="CN16">
        <f t="shared" si="30"/>
        <v>0.15149023103829867</v>
      </c>
      <c r="CO16">
        <f t="shared" ref="CO16:DN16" si="31">CN17/CN$3</f>
        <v>0.12635780155891618</v>
      </c>
      <c r="CP16">
        <f t="shared" si="31"/>
        <v>0.10356721612747495</v>
      </c>
      <c r="CQ16">
        <f t="shared" si="31"/>
        <v>8.3273041381482532E-2</v>
      </c>
      <c r="CR16">
        <f t="shared" si="31"/>
        <v>6.5561499659230971E-2</v>
      </c>
      <c r="CS16">
        <f t="shared" si="31"/>
        <v>5.0439725990224678E-2</v>
      </c>
      <c r="CT16">
        <f t="shared" si="31"/>
        <v>3.7836662231456888E-2</v>
      </c>
      <c r="CU16">
        <f t="shared" si="31"/>
        <v>2.7605936222223928E-2</v>
      </c>
      <c r="CV16">
        <f t="shared" si="31"/>
        <v>1.9538421058485213E-2</v>
      </c>
      <c r="CW16">
        <f t="shared" si="31"/>
        <v>1.3374898727485041E-2</v>
      </c>
      <c r="CX16">
        <f t="shared" si="31"/>
        <v>8.8270385060163891E-3</v>
      </c>
      <c r="CY16">
        <f t="shared" si="31"/>
        <v>5.5966148883899022E-3</v>
      </c>
      <c r="CZ16">
        <f t="shared" si="31"/>
        <v>3.3958153894642256E-3</v>
      </c>
      <c r="DA16">
        <f t="shared" si="31"/>
        <v>1.963475055971285E-3</v>
      </c>
      <c r="DB16">
        <f t="shared" si="31"/>
        <v>1.0768330280463065E-3</v>
      </c>
      <c r="DC16">
        <f t="shared" si="31"/>
        <v>5.5732439593578534E-4</v>
      </c>
      <c r="DD16">
        <f t="shared" si="31"/>
        <v>2.707762106294661E-4</v>
      </c>
      <c r="DE16">
        <f t="shared" si="31"/>
        <v>1.2266544798959035E-4</v>
      </c>
      <c r="DF16">
        <f t="shared" si="31"/>
        <v>0</v>
      </c>
      <c r="DG16">
        <f t="shared" si="31"/>
        <v>0</v>
      </c>
      <c r="DH16">
        <f t="shared" si="31"/>
        <v>0</v>
      </c>
      <c r="DI16">
        <f t="shared" si="31"/>
        <v>0</v>
      </c>
      <c r="DJ16">
        <f t="shared" si="31"/>
        <v>0</v>
      </c>
      <c r="DK16">
        <f t="shared" si="31"/>
        <v>0</v>
      </c>
      <c r="DL16">
        <f t="shared" si="31"/>
        <v>0</v>
      </c>
      <c r="DM16">
        <f t="shared" si="31"/>
        <v>0</v>
      </c>
      <c r="DN16">
        <f t="shared" si="31"/>
        <v>0</v>
      </c>
    </row>
    <row r="17" spans="1:118" x14ac:dyDescent="0.2">
      <c r="A17">
        <v>13</v>
      </c>
      <c r="B17">
        <v>32</v>
      </c>
      <c r="C17">
        <f t="shared" si="2"/>
        <v>0.53032135064529451</v>
      </c>
      <c r="D17">
        <f t="shared" si="3"/>
        <v>0.28124073495024943</v>
      </c>
      <c r="E17">
        <v>1.6999999999999999E-3</v>
      </c>
      <c r="F17">
        <f t="shared" si="0"/>
        <v>0.99829999999999997</v>
      </c>
      <c r="G17" s="34">
        <f t="shared" si="5"/>
        <v>0.98312262511448723</v>
      </c>
      <c r="H17" s="34"/>
      <c r="I17">
        <v>151.69634336010964</v>
      </c>
      <c r="J17">
        <v>32</v>
      </c>
      <c r="K17" s="38">
        <f t="shared" si="6"/>
        <v>151.69634336010961</v>
      </c>
      <c r="L17" s="22">
        <f t="shared" si="1"/>
        <v>250.7063805420982</v>
      </c>
      <c r="M17" s="23">
        <f t="shared" si="4"/>
        <v>439.52824054796787</v>
      </c>
      <c r="T17" s="60">
        <v>112.27</v>
      </c>
      <c r="U17">
        <v>1.6999999999999999E-3</v>
      </c>
      <c r="V17">
        <v>1.282051282051282E-2</v>
      </c>
      <c r="W17">
        <v>3.9210560847676823E-2</v>
      </c>
      <c r="Z17">
        <f t="shared" si="10"/>
        <v>1.5300000000000001E-3</v>
      </c>
      <c r="AA17">
        <f t="shared" si="11"/>
        <v>0.99846999999999997</v>
      </c>
      <c r="AB17" s="34">
        <f t="shared" si="15"/>
        <v>0.98638485926328889</v>
      </c>
      <c r="AC17">
        <f t="shared" ref="AC17:CN17" si="32">AB18/AB$3</f>
        <v>0.98581216617103118</v>
      </c>
      <c r="AD17">
        <f t="shared" si="32"/>
        <v>0.98518057690005434</v>
      </c>
      <c r="AE17">
        <f t="shared" si="32"/>
        <v>0.98450005372650251</v>
      </c>
      <c r="AF17">
        <f t="shared" si="32"/>
        <v>0.983741131102568</v>
      </c>
      <c r="AG17">
        <f t="shared" si="32"/>
        <v>0.9829236613494442</v>
      </c>
      <c r="AH17">
        <f t="shared" si="32"/>
        <v>0.98201826699989614</v>
      </c>
      <c r="AI17">
        <f t="shared" si="32"/>
        <v>0.98102516731362477</v>
      </c>
      <c r="AJ17">
        <f t="shared" si="32"/>
        <v>0.97994460247834891</v>
      </c>
      <c r="AK17">
        <f t="shared" si="32"/>
        <v>0.97875721904637958</v>
      </c>
      <c r="AL17">
        <f t="shared" si="32"/>
        <v>0.97746337049835841</v>
      </c>
      <c r="AM17">
        <f t="shared" si="32"/>
        <v>0.97604387678575544</v>
      </c>
      <c r="AN17">
        <f t="shared" si="32"/>
        <v>0.97448946441775341</v>
      </c>
      <c r="AO17">
        <f t="shared" si="32"/>
        <v>0.97279096530116849</v>
      </c>
      <c r="AP17">
        <f t="shared" si="32"/>
        <v>0.97091985736458364</v>
      </c>
      <c r="AQ17">
        <f t="shared" si="32"/>
        <v>0.96887704431933208</v>
      </c>
      <c r="AR17">
        <f t="shared" si="32"/>
        <v>0.96664413897766077</v>
      </c>
      <c r="AS17">
        <f t="shared" si="32"/>
        <v>0.96420297164935476</v>
      </c>
      <c r="AT17">
        <f t="shared" si="32"/>
        <v>0.96153569004554584</v>
      </c>
      <c r="AU17">
        <f t="shared" si="32"/>
        <v>0.95861513996801939</v>
      </c>
      <c r="AV17">
        <f t="shared" si="32"/>
        <v>0.9554242413669628</v>
      </c>
      <c r="AW17">
        <f t="shared" si="32"/>
        <v>0.95193680204707798</v>
      </c>
      <c r="AX17">
        <f t="shared" si="32"/>
        <v>0.9481272216573482</v>
      </c>
      <c r="AY17">
        <f t="shared" si="32"/>
        <v>0.94396109281419083</v>
      </c>
      <c r="AZ17">
        <f t="shared" si="32"/>
        <v>0.93941443907983668</v>
      </c>
      <c r="BA17">
        <f t="shared" si="32"/>
        <v>0.93446414769362507</v>
      </c>
      <c r="BB17">
        <f t="shared" si="32"/>
        <v>0.92906939985302406</v>
      </c>
      <c r="BC17">
        <f t="shared" si="32"/>
        <v>0.92318159550320411</v>
      </c>
      <c r="BD17">
        <f t="shared" si="32"/>
        <v>0.91676326946297404</v>
      </c>
      <c r="BE17">
        <f t="shared" si="32"/>
        <v>0.90977900317837057</v>
      </c>
      <c r="BF17">
        <f t="shared" si="32"/>
        <v>0.90218638173893084</v>
      </c>
      <c r="BG17">
        <f t="shared" si="32"/>
        <v>0.89393666923087622</v>
      </c>
      <c r="BH17">
        <f t="shared" si="32"/>
        <v>0.88497552948818881</v>
      </c>
      <c r="BI17">
        <f t="shared" si="32"/>
        <v>0.87525267818790986</v>
      </c>
      <c r="BJ17">
        <f t="shared" si="32"/>
        <v>0.86472234125640524</v>
      </c>
      <c r="BK17">
        <f t="shared" si="32"/>
        <v>0.85366656235109395</v>
      </c>
      <c r="BL17">
        <f t="shared" si="32"/>
        <v>0.84098698150894036</v>
      </c>
      <c r="BM17">
        <f t="shared" si="32"/>
        <v>0.82766197697485788</v>
      </c>
      <c r="BN17">
        <f t="shared" si="32"/>
        <v>0.81329848049761111</v>
      </c>
      <c r="BO17">
        <f t="shared" si="32"/>
        <v>0.79783756464347044</v>
      </c>
      <c r="BP17">
        <f t="shared" si="32"/>
        <v>0.78122436574429288</v>
      </c>
      <c r="BQ17">
        <f t="shared" si="32"/>
        <v>0.76340157592716296</v>
      </c>
      <c r="BR17">
        <f t="shared" si="32"/>
        <v>0.74432796829300651</v>
      </c>
      <c r="BS17">
        <f t="shared" si="32"/>
        <v>0.72395698264158803</v>
      </c>
      <c r="BT17">
        <f t="shared" si="32"/>
        <v>0.70226304096527392</v>
      </c>
      <c r="BU17">
        <f t="shared" si="32"/>
        <v>0.67922146742185363</v>
      </c>
      <c r="BV17">
        <f t="shared" si="32"/>
        <v>0.65455920982610372</v>
      </c>
      <c r="BW17">
        <f t="shared" si="32"/>
        <v>0.62908267552035169</v>
      </c>
      <c r="BX17">
        <f t="shared" si="32"/>
        <v>0.60201668000999986</v>
      </c>
      <c r="BY17">
        <f t="shared" si="32"/>
        <v>0.57367475445476213</v>
      </c>
      <c r="BZ17">
        <f t="shared" si="32"/>
        <v>0.54413402191768478</v>
      </c>
      <c r="CA17">
        <f t="shared" si="32"/>
        <v>0.51348349872449783</v>
      </c>
      <c r="CB17">
        <f t="shared" si="32"/>
        <v>0.48186164464632419</v>
      </c>
      <c r="CC17">
        <f t="shared" si="32"/>
        <v>0.44941909696433219</v>
      </c>
      <c r="CD17">
        <f t="shared" si="32"/>
        <v>0.4163527122718273</v>
      </c>
      <c r="CE17">
        <f t="shared" si="32"/>
        <v>0.38288506728156141</v>
      </c>
      <c r="CF17">
        <f t="shared" si="32"/>
        <v>0.34927244920183015</v>
      </c>
      <c r="CG17">
        <f t="shared" si="32"/>
        <v>0.31580110768981728</v>
      </c>
      <c r="CH17">
        <f t="shared" si="32"/>
        <v>0.28277446145228435</v>
      </c>
      <c r="CI17">
        <f t="shared" si="32"/>
        <v>0.25051992620326402</v>
      </c>
      <c r="CJ17">
        <f t="shared" si="32"/>
        <v>0.21936583020365474</v>
      </c>
      <c r="CK17">
        <f t="shared" si="32"/>
        <v>0.18963921998479899</v>
      </c>
      <c r="CL17">
        <f t="shared" si="32"/>
        <v>0.16165560804811444</v>
      </c>
      <c r="CM17">
        <f t="shared" si="32"/>
        <v>0.13569282974562488</v>
      </c>
      <c r="CN17">
        <f t="shared" si="32"/>
        <v>0.11199218309968301</v>
      </c>
      <c r="CO17">
        <f t="shared" ref="CO17:DN17" si="33">CN18/CN$3</f>
        <v>9.0736273721442079E-2</v>
      </c>
      <c r="CP17">
        <f t="shared" si="33"/>
        <v>7.2036177177465271E-2</v>
      </c>
      <c r="CQ17">
        <f t="shared" si="33"/>
        <v>5.5931170974286536E-2</v>
      </c>
      <c r="CR17">
        <f t="shared" si="33"/>
        <v>4.2378953379726872E-2</v>
      </c>
      <c r="CS17">
        <f t="shared" si="33"/>
        <v>3.1262542168741254E-2</v>
      </c>
      <c r="CT17">
        <f t="shared" si="33"/>
        <v>2.2394763641554717E-2</v>
      </c>
      <c r="CU17">
        <f t="shared" si="33"/>
        <v>1.5534412430969837E-2</v>
      </c>
      <c r="CV17">
        <f t="shared" si="33"/>
        <v>1.0402059987326941E-2</v>
      </c>
      <c r="CW17">
        <f t="shared" si="33"/>
        <v>6.7009580114572804E-3</v>
      </c>
      <c r="CX17">
        <f t="shared" si="33"/>
        <v>4.1374094885400026E-3</v>
      </c>
      <c r="CY17">
        <f t="shared" si="33"/>
        <v>2.4385010730203654E-3</v>
      </c>
      <c r="CZ17">
        <f t="shared" si="33"/>
        <v>1.3656950751808272E-3</v>
      </c>
      <c r="DA17">
        <f t="shared" si="33"/>
        <v>7.2326567161758225E-4</v>
      </c>
      <c r="DB17">
        <f t="shared" si="33"/>
        <v>3.6025448953289166E-4</v>
      </c>
      <c r="DC17">
        <f t="shared" si="33"/>
        <v>1.678270953481431E-4</v>
      </c>
      <c r="DD17">
        <f t="shared" si="33"/>
        <v>7.2603225356078737E-5</v>
      </c>
      <c r="DE17">
        <f t="shared" si="33"/>
        <v>0</v>
      </c>
      <c r="DF17">
        <f t="shared" si="33"/>
        <v>0</v>
      </c>
      <c r="DG17">
        <f t="shared" si="33"/>
        <v>0</v>
      </c>
      <c r="DH17">
        <f t="shared" si="33"/>
        <v>0</v>
      </c>
      <c r="DI17">
        <f t="shared" si="33"/>
        <v>0</v>
      </c>
      <c r="DJ17">
        <f t="shared" si="33"/>
        <v>0</v>
      </c>
      <c r="DK17">
        <f t="shared" si="33"/>
        <v>0</v>
      </c>
      <c r="DL17">
        <f t="shared" si="33"/>
        <v>0</v>
      </c>
      <c r="DM17">
        <f t="shared" si="33"/>
        <v>0</v>
      </c>
      <c r="DN17">
        <f t="shared" si="33"/>
        <v>0</v>
      </c>
    </row>
    <row r="18" spans="1:118" x14ac:dyDescent="0.2">
      <c r="A18">
        <v>14</v>
      </c>
      <c r="B18">
        <v>33</v>
      </c>
      <c r="C18">
        <f t="shared" si="2"/>
        <v>0.50506795299551854</v>
      </c>
      <c r="D18">
        <f t="shared" si="3"/>
        <v>0.25509363714308331</v>
      </c>
      <c r="E18">
        <v>1.7900000000000001E-3</v>
      </c>
      <c r="F18">
        <f t="shared" si="0"/>
        <v>0.99821000000000004</v>
      </c>
      <c r="G18" s="34">
        <f t="shared" si="5"/>
        <v>0.98136283561553228</v>
      </c>
      <c r="H18" s="34"/>
      <c r="I18">
        <v>157.84950468608145</v>
      </c>
      <c r="J18">
        <v>33</v>
      </c>
      <c r="K18" s="38">
        <f t="shared" si="6"/>
        <v>157.84950468608145</v>
      </c>
      <c r="L18" s="22">
        <f t="shared" si="1"/>
        <v>253.67340995321874</v>
      </c>
      <c r="M18" s="23">
        <f t="shared" si="4"/>
        <v>439.52824054796787</v>
      </c>
      <c r="T18" s="60">
        <v>117.51</v>
      </c>
      <c r="U18">
        <v>1.7900000000000001E-3</v>
      </c>
      <c r="V18">
        <v>1.2987012987012988E-2</v>
      </c>
      <c r="W18">
        <v>3.9210560847676823E-2</v>
      </c>
      <c r="Z18">
        <f t="shared" si="10"/>
        <v>1.6100000000000001E-3</v>
      </c>
      <c r="AA18">
        <f t="shared" si="11"/>
        <v>0.99839</v>
      </c>
      <c r="AB18" s="34">
        <f t="shared" si="15"/>
        <v>0.984796779639875</v>
      </c>
      <c r="AC18">
        <f t="shared" ref="AC18:CN18" si="34">AB19/AB$3</f>
        <v>0.98413628548854037</v>
      </c>
      <c r="AD18">
        <f t="shared" si="34"/>
        <v>0.98341710366740331</v>
      </c>
      <c r="AE18">
        <f t="shared" si="34"/>
        <v>0.98262950362442214</v>
      </c>
      <c r="AF18">
        <f t="shared" si="34"/>
        <v>0.98176381142905189</v>
      </c>
      <c r="AG18">
        <f t="shared" si="34"/>
        <v>0.98082020471415632</v>
      </c>
      <c r="AH18">
        <f t="shared" si="34"/>
        <v>0.97977926535113646</v>
      </c>
      <c r="AI18">
        <f t="shared" si="34"/>
        <v>0.97864127615705265</v>
      </c>
      <c r="AJ18">
        <f t="shared" si="34"/>
        <v>0.97739674651190511</v>
      </c>
      <c r="AK18">
        <f t="shared" si="34"/>
        <v>0.97603627397743076</v>
      </c>
      <c r="AL18">
        <f t="shared" si="34"/>
        <v>0.97455052965427325</v>
      </c>
      <c r="AM18">
        <f t="shared" si="34"/>
        <v>0.97292053638004083</v>
      </c>
      <c r="AN18">
        <f t="shared" si="34"/>
        <v>0.97113722066015651</v>
      </c>
      <c r="AO18">
        <f t="shared" si="34"/>
        <v>0.96918191081990113</v>
      </c>
      <c r="AP18">
        <f t="shared" si="34"/>
        <v>0.96703617793512531</v>
      </c>
      <c r="AQ18">
        <f t="shared" si="34"/>
        <v>0.96470118425831575</v>
      </c>
      <c r="AR18">
        <f t="shared" si="34"/>
        <v>0.96213957729002508</v>
      </c>
      <c r="AS18">
        <f t="shared" si="34"/>
        <v>0.959343388672242</v>
      </c>
      <c r="AT18">
        <f t="shared" si="34"/>
        <v>0.95628570517789702</v>
      </c>
      <c r="AU18">
        <f t="shared" si="34"/>
        <v>0.9529401383394086</v>
      </c>
      <c r="AV18">
        <f t="shared" si="34"/>
        <v>0.94929041773738709</v>
      </c>
      <c r="AW18">
        <f t="shared" si="34"/>
        <v>0.94530180253680929</v>
      </c>
      <c r="AX18">
        <f t="shared" si="34"/>
        <v>0.94094041731718547</v>
      </c>
      <c r="AY18">
        <f t="shared" si="34"/>
        <v>0.93618285340940199</v>
      </c>
      <c r="AZ18">
        <f t="shared" si="34"/>
        <v>0.93099728570568174</v>
      </c>
      <c r="BA18">
        <f t="shared" si="34"/>
        <v>0.92535312225361199</v>
      </c>
      <c r="BB18">
        <f t="shared" si="34"/>
        <v>0.91920268282658524</v>
      </c>
      <c r="BC18">
        <f t="shared" si="34"/>
        <v>0.91249115262727654</v>
      </c>
      <c r="BD18">
        <f t="shared" si="34"/>
        <v>0.90519371700235152</v>
      </c>
      <c r="BE18">
        <f t="shared" si="34"/>
        <v>0.89726044409463623</v>
      </c>
      <c r="BF18">
        <f t="shared" si="34"/>
        <v>0.88864456414902937</v>
      </c>
      <c r="BG18">
        <f t="shared" si="34"/>
        <v>0.8792939865888747</v>
      </c>
      <c r="BH18">
        <f t="shared" si="34"/>
        <v>0.86915216702094011</v>
      </c>
      <c r="BI18">
        <f t="shared" si="34"/>
        <v>0.8581677459096817</v>
      </c>
      <c r="BJ18">
        <f t="shared" si="34"/>
        <v>0.84663234987732094</v>
      </c>
      <c r="BK18">
        <f t="shared" si="34"/>
        <v>0.83345173815462026</v>
      </c>
      <c r="BL18">
        <f t="shared" si="34"/>
        <v>0.81959227269935297</v>
      </c>
      <c r="BM18">
        <f t="shared" si="34"/>
        <v>0.80466125063472649</v>
      </c>
      <c r="BN18">
        <f t="shared" si="34"/>
        <v>0.78859860564489903</v>
      </c>
      <c r="BO18">
        <f t="shared" si="34"/>
        <v>0.77136531424859989</v>
      </c>
      <c r="BP18">
        <f t="shared" si="34"/>
        <v>0.75289717024240521</v>
      </c>
      <c r="BQ18">
        <f t="shared" si="34"/>
        <v>0.73315560548892855</v>
      </c>
      <c r="BR18">
        <f t="shared" si="34"/>
        <v>0.7120985672659188</v>
      </c>
      <c r="BS18">
        <f t="shared" si="34"/>
        <v>0.68970657779281486</v>
      </c>
      <c r="BT18">
        <f t="shared" si="34"/>
        <v>0.66596306437777908</v>
      </c>
      <c r="BU18">
        <f t="shared" si="34"/>
        <v>0.64086583115654161</v>
      </c>
      <c r="BV18">
        <f t="shared" si="34"/>
        <v>0.61418599776402971</v>
      </c>
      <c r="BW18">
        <f t="shared" si="34"/>
        <v>0.58670137567054548</v>
      </c>
      <c r="BX18">
        <f t="shared" si="34"/>
        <v>0.55773233302846426</v>
      </c>
      <c r="BY18">
        <f t="shared" si="34"/>
        <v>0.52760867167204473</v>
      </c>
      <c r="BZ18">
        <f t="shared" si="34"/>
        <v>0.496446116236819</v>
      </c>
      <c r="CA18">
        <f t="shared" si="34"/>
        <v>0.4643893414114485</v>
      </c>
      <c r="CB18">
        <f t="shared" si="34"/>
        <v>0.43161311234260535</v>
      </c>
      <c r="CC18">
        <f t="shared" si="34"/>
        <v>0.39832463983045718</v>
      </c>
      <c r="CD18">
        <f t="shared" si="34"/>
        <v>0.36477077474847075</v>
      </c>
      <c r="CE18">
        <f t="shared" si="34"/>
        <v>0.33121855630258756</v>
      </c>
      <c r="CF18">
        <f t="shared" si="34"/>
        <v>0.29796781913857329</v>
      </c>
      <c r="CG18">
        <f t="shared" si="34"/>
        <v>0.26533293266990748</v>
      </c>
      <c r="CH18">
        <f t="shared" si="34"/>
        <v>0.23364239877495011</v>
      </c>
      <c r="CI18">
        <f t="shared" si="34"/>
        <v>0.20322927973387392</v>
      </c>
      <c r="CJ18">
        <f t="shared" si="34"/>
        <v>0.17441119062001961</v>
      </c>
      <c r="CK18">
        <f t="shared" si="34"/>
        <v>0.1474881105587777</v>
      </c>
      <c r="CL18">
        <f t="shared" si="34"/>
        <v>0.1227192382936457</v>
      </c>
      <c r="CM18">
        <f t="shared" si="34"/>
        <v>0.10031363824604805</v>
      </c>
      <c r="CN18">
        <f t="shared" si="34"/>
        <v>8.0420466762051335E-2</v>
      </c>
      <c r="CO18">
        <f t="shared" ref="CO18:DN18" si="35">CN19/CN$3</f>
        <v>6.3111615186949091E-2</v>
      </c>
      <c r="CP18">
        <f t="shared" si="35"/>
        <v>4.8383818763016305E-2</v>
      </c>
      <c r="CQ18">
        <f t="shared" si="35"/>
        <v>3.6153908917778796E-2</v>
      </c>
      <c r="CR18">
        <f t="shared" si="35"/>
        <v>2.6266475304754715E-2</v>
      </c>
      <c r="CS18">
        <f t="shared" si="35"/>
        <v>1.8503673458834587E-2</v>
      </c>
      <c r="CT18">
        <f t="shared" si="35"/>
        <v>1.2601981396375661E-2</v>
      </c>
      <c r="CU18">
        <f t="shared" si="35"/>
        <v>8.2703658341240303E-3</v>
      </c>
      <c r="CV18">
        <f t="shared" si="35"/>
        <v>5.2115360742506708E-3</v>
      </c>
      <c r="CW18">
        <f t="shared" si="35"/>
        <v>3.1408730391302569E-3</v>
      </c>
      <c r="CX18">
        <f t="shared" si="35"/>
        <v>1.8027106882517654E-3</v>
      </c>
      <c r="CY18">
        <f t="shared" si="35"/>
        <v>9.8069197653659996E-4</v>
      </c>
      <c r="CZ18">
        <f t="shared" si="35"/>
        <v>5.0306743789360934E-4</v>
      </c>
      <c r="DA18">
        <f t="shared" si="35"/>
        <v>2.4196853043966201E-4</v>
      </c>
      <c r="DB18">
        <f t="shared" si="35"/>
        <v>1.084834344330397E-4</v>
      </c>
      <c r="DC18">
        <f t="shared" si="35"/>
        <v>4.4999479075697604E-5</v>
      </c>
      <c r="DD18">
        <f t="shared" si="35"/>
        <v>0</v>
      </c>
      <c r="DE18">
        <f t="shared" si="35"/>
        <v>0</v>
      </c>
      <c r="DF18">
        <f t="shared" si="35"/>
        <v>0</v>
      </c>
      <c r="DG18">
        <f t="shared" si="35"/>
        <v>0</v>
      </c>
      <c r="DH18">
        <f t="shared" si="35"/>
        <v>0</v>
      </c>
      <c r="DI18">
        <f t="shared" si="35"/>
        <v>0</v>
      </c>
      <c r="DJ18">
        <f t="shared" si="35"/>
        <v>0</v>
      </c>
      <c r="DK18">
        <f t="shared" si="35"/>
        <v>0</v>
      </c>
      <c r="DL18">
        <f t="shared" si="35"/>
        <v>0</v>
      </c>
      <c r="DM18">
        <f t="shared" si="35"/>
        <v>0</v>
      </c>
      <c r="DN18">
        <f t="shared" si="35"/>
        <v>0</v>
      </c>
    </row>
    <row r="19" spans="1:118" x14ac:dyDescent="0.2">
      <c r="A19">
        <v>15</v>
      </c>
      <c r="B19">
        <v>34</v>
      </c>
      <c r="C19">
        <f t="shared" si="2"/>
        <v>0.48101709809097004</v>
      </c>
      <c r="D19">
        <f t="shared" si="3"/>
        <v>0.23137744865585788</v>
      </c>
      <c r="E19">
        <v>1.9E-3</v>
      </c>
      <c r="F19">
        <f t="shared" si="0"/>
        <v>0.99809999999999999</v>
      </c>
      <c r="G19" s="34">
        <f t="shared" si="5"/>
        <v>0.97949824622786275</v>
      </c>
      <c r="H19" s="34"/>
      <c r="I19">
        <v>164.24598022498827</v>
      </c>
      <c r="J19">
        <v>34</v>
      </c>
      <c r="K19" s="38">
        <f t="shared" si="6"/>
        <v>164.24598022498824</v>
      </c>
      <c r="L19" s="22">
        <f t="shared" si="1"/>
        <v>256.70388414102285</v>
      </c>
      <c r="M19" s="23">
        <f t="shared" si="4"/>
        <v>439.52824054796787</v>
      </c>
      <c r="T19" s="60">
        <v>122.99</v>
      </c>
      <c r="U19">
        <v>1.9E-3</v>
      </c>
      <c r="V19">
        <v>1.3157894736842105E-2</v>
      </c>
      <c r="W19">
        <v>3.9210560847676823E-2</v>
      </c>
      <c r="Z19">
        <f t="shared" si="10"/>
        <v>1.6999999999999999E-3</v>
      </c>
      <c r="AA19">
        <f t="shared" si="11"/>
        <v>0.99829999999999997</v>
      </c>
      <c r="AB19" s="34">
        <f t="shared" si="15"/>
        <v>0.98312262511448723</v>
      </c>
      <c r="AC19">
        <f t="shared" ref="AC19:CN19" si="36">AB20/AB$3</f>
        <v>0.98237468153751595</v>
      </c>
      <c r="AD19">
        <f t="shared" si="36"/>
        <v>0.98154861117043524</v>
      </c>
      <c r="AE19">
        <f t="shared" si="36"/>
        <v>0.98065441832213707</v>
      </c>
      <c r="AF19">
        <f t="shared" si="36"/>
        <v>0.9796628368725937</v>
      </c>
      <c r="AG19">
        <f t="shared" si="36"/>
        <v>0.97858393464740812</v>
      </c>
      <c r="AH19">
        <f t="shared" si="36"/>
        <v>0.97739840173633319</v>
      </c>
      <c r="AI19">
        <f t="shared" si="36"/>
        <v>0.97609680883904426</v>
      </c>
      <c r="AJ19">
        <f t="shared" si="36"/>
        <v>0.97467958355660211</v>
      </c>
      <c r="AK19">
        <f t="shared" si="36"/>
        <v>0.97312768588097798</v>
      </c>
      <c r="AL19">
        <f t="shared" si="36"/>
        <v>0.97143196795937936</v>
      </c>
      <c r="AM19">
        <f t="shared" si="36"/>
        <v>0.96957368973489366</v>
      </c>
      <c r="AN19">
        <f t="shared" si="36"/>
        <v>0.96753430157150722</v>
      </c>
      <c r="AO19">
        <f t="shared" si="36"/>
        <v>0.96530518317662151</v>
      </c>
      <c r="AP19">
        <f t="shared" si="36"/>
        <v>0.9628682520082249</v>
      </c>
      <c r="AQ19">
        <f t="shared" si="36"/>
        <v>0.96020567673967216</v>
      </c>
      <c r="AR19">
        <f t="shared" si="36"/>
        <v>0.95729039382048342</v>
      </c>
      <c r="AS19">
        <f t="shared" si="36"/>
        <v>0.95410537377009141</v>
      </c>
      <c r="AT19">
        <f t="shared" si="36"/>
        <v>0.95062449380324376</v>
      </c>
      <c r="AU19">
        <f t="shared" si="36"/>
        <v>0.9468222626512699</v>
      </c>
      <c r="AV19">
        <f t="shared" si="36"/>
        <v>0.94267386352575699</v>
      </c>
      <c r="AW19">
        <f t="shared" si="36"/>
        <v>0.93813641487358024</v>
      </c>
      <c r="AX19">
        <f t="shared" si="36"/>
        <v>0.93318706827849196</v>
      </c>
      <c r="AY19">
        <f t="shared" si="36"/>
        <v>0.92779465504285419</v>
      </c>
      <c r="AZ19">
        <f t="shared" si="36"/>
        <v>0.92192006217005107</v>
      </c>
      <c r="BA19">
        <f t="shared" si="36"/>
        <v>0.91552587209527891</v>
      </c>
      <c r="BB19">
        <f t="shared" si="36"/>
        <v>0.90855831575945289</v>
      </c>
      <c r="BC19">
        <f t="shared" si="36"/>
        <v>0.90097551428112055</v>
      </c>
      <c r="BD19">
        <f t="shared" si="36"/>
        <v>0.89273825145639918</v>
      </c>
      <c r="BE19">
        <f t="shared" si="36"/>
        <v>0.88379256482877566</v>
      </c>
      <c r="BF19">
        <f t="shared" si="36"/>
        <v>0.87408856618826858</v>
      </c>
      <c r="BG19">
        <f t="shared" si="36"/>
        <v>0.86357221010866569</v>
      </c>
      <c r="BH19">
        <f t="shared" si="36"/>
        <v>0.85218631672069123</v>
      </c>
      <c r="BI19">
        <f t="shared" si="36"/>
        <v>0.84021487666525085</v>
      </c>
      <c r="BJ19">
        <f t="shared" si="36"/>
        <v>0.82658409583222614</v>
      </c>
      <c r="BK19">
        <f t="shared" si="36"/>
        <v>0.81224872593596675</v>
      </c>
      <c r="BL19">
        <f t="shared" si="36"/>
        <v>0.79681580344103786</v>
      </c>
      <c r="BM19">
        <f t="shared" si="36"/>
        <v>0.7802236884529502</v>
      </c>
      <c r="BN19">
        <f t="shared" si="36"/>
        <v>0.76243290390960106</v>
      </c>
      <c r="BO19">
        <f t="shared" si="36"/>
        <v>0.7433956079539461</v>
      </c>
      <c r="BP19">
        <f t="shared" si="36"/>
        <v>0.72306738435740092</v>
      </c>
      <c r="BQ19">
        <f t="shared" si="36"/>
        <v>0.70140996777125741</v>
      </c>
      <c r="BR19">
        <f t="shared" si="36"/>
        <v>0.67840918404856854</v>
      </c>
      <c r="BS19">
        <f t="shared" si="36"/>
        <v>0.65405564478670442</v>
      </c>
      <c r="BT19">
        <f t="shared" si="36"/>
        <v>0.62835613013236591</v>
      </c>
      <c r="BU19">
        <f t="shared" si="36"/>
        <v>0.60133722669080614</v>
      </c>
      <c r="BV19">
        <f t="shared" si="36"/>
        <v>0.57280828709466691</v>
      </c>
      <c r="BW19">
        <f t="shared" si="36"/>
        <v>0.54354362247622012</v>
      </c>
      <c r="BX19">
        <f t="shared" si="36"/>
        <v>0.51294642668627866</v>
      </c>
      <c r="BY19">
        <f t="shared" si="36"/>
        <v>0.4813690476867068</v>
      </c>
      <c r="BZ19">
        <f t="shared" si="36"/>
        <v>0.44898090306341665</v>
      </c>
      <c r="CA19">
        <f t="shared" si="36"/>
        <v>0.4159628208890625</v>
      </c>
      <c r="CB19">
        <f t="shared" si="36"/>
        <v>0.38254301760037446</v>
      </c>
      <c r="CC19">
        <f t="shared" si="36"/>
        <v>0.34897620020186199</v>
      </c>
      <c r="CD19">
        <f t="shared" si="36"/>
        <v>0.31554860640391214</v>
      </c>
      <c r="CE19">
        <f t="shared" si="36"/>
        <v>0.28256586256730043</v>
      </c>
      <c r="CF19">
        <f t="shared" si="36"/>
        <v>0.25034958196203783</v>
      </c>
      <c r="CG19">
        <f t="shared" si="36"/>
        <v>0.21923133561851119</v>
      </c>
      <c r="CH19">
        <f t="shared" si="36"/>
        <v>0.18953772315820283</v>
      </c>
      <c r="CI19">
        <f t="shared" si="36"/>
        <v>0.16158150343801098</v>
      </c>
      <c r="CJ19">
        <f t="shared" si="36"/>
        <v>0.13564481528090785</v>
      </c>
      <c r="CK19">
        <f t="shared" si="36"/>
        <v>0.1119641242495906</v>
      </c>
      <c r="CL19">
        <f t="shared" si="36"/>
        <v>9.0722651293343406E-2</v>
      </c>
      <c r="CM19">
        <f t="shared" si="36"/>
        <v>7.2034220488104622E-2</v>
      </c>
      <c r="CN19">
        <f t="shared" si="36"/>
        <v>5.593645565634485E-2</v>
      </c>
      <c r="CO19">
        <f t="shared" ref="CO19:DN19" si="37">CN20/CN$3</f>
        <v>4.2389547456466212E-2</v>
      </c>
      <c r="CP19">
        <f t="shared" si="37"/>
        <v>3.1275300448413722E-2</v>
      </c>
      <c r="CQ19">
        <f t="shared" si="37"/>
        <v>2.2408192747239295E-2</v>
      </c>
      <c r="CR19">
        <f t="shared" si="37"/>
        <v>1.554660140337823E-2</v>
      </c>
      <c r="CS19">
        <f t="shared" si="37"/>
        <v>1.041238712875539E-2</v>
      </c>
      <c r="CT19">
        <f t="shared" si="37"/>
        <v>6.7091688756164367E-3</v>
      </c>
      <c r="CU19">
        <f t="shared" si="37"/>
        <v>4.1435359865544807E-3</v>
      </c>
      <c r="CV19">
        <f t="shared" si="37"/>
        <v>2.4427511887227748E-3</v>
      </c>
      <c r="CW19">
        <f t="shared" si="37"/>
        <v>1.368509791879445E-3</v>
      </c>
      <c r="CX19">
        <f t="shared" si="37"/>
        <v>7.2499615749421222E-4</v>
      </c>
      <c r="CY19">
        <f t="shared" si="37"/>
        <v>3.6124769647702187E-4</v>
      </c>
      <c r="CZ19">
        <f t="shared" si="37"/>
        <v>1.6830121134730691E-4</v>
      </c>
      <c r="DA19">
        <f t="shared" si="37"/>
        <v>7.2863983571295451E-5</v>
      </c>
      <c r="DB19">
        <f t="shared" si="37"/>
        <v>2.9087663274530928E-5</v>
      </c>
      <c r="DC19">
        <f t="shared" si="37"/>
        <v>0</v>
      </c>
      <c r="DD19">
        <f t="shared" si="37"/>
        <v>0</v>
      </c>
      <c r="DE19">
        <f t="shared" si="37"/>
        <v>0</v>
      </c>
      <c r="DF19">
        <f t="shared" si="37"/>
        <v>0</v>
      </c>
      <c r="DG19">
        <f t="shared" si="37"/>
        <v>0</v>
      </c>
      <c r="DH19">
        <f t="shared" si="37"/>
        <v>0</v>
      </c>
      <c r="DI19">
        <f t="shared" si="37"/>
        <v>0</v>
      </c>
      <c r="DJ19">
        <f t="shared" si="37"/>
        <v>0</v>
      </c>
      <c r="DK19">
        <f t="shared" si="37"/>
        <v>0</v>
      </c>
      <c r="DL19">
        <f t="shared" si="37"/>
        <v>0</v>
      </c>
      <c r="DM19">
        <f t="shared" si="37"/>
        <v>0</v>
      </c>
      <c r="DN19">
        <f t="shared" si="37"/>
        <v>0</v>
      </c>
    </row>
    <row r="20" spans="1:118" x14ac:dyDescent="0.2">
      <c r="A20">
        <v>16</v>
      </c>
      <c r="B20">
        <v>35</v>
      </c>
      <c r="C20">
        <f t="shared" si="2"/>
        <v>0.45811152199140004</v>
      </c>
      <c r="D20">
        <f t="shared" si="3"/>
        <v>0.20986616658127699</v>
      </c>
      <c r="E20">
        <v>2.0099999999999996E-3</v>
      </c>
      <c r="F20">
        <f t="shared" si="0"/>
        <v>0.99799000000000004</v>
      </c>
      <c r="G20" s="34">
        <f t="shared" si="5"/>
        <v>0.97752945475294484</v>
      </c>
      <c r="H20" s="34"/>
      <c r="I20">
        <v>170.88295685426067</v>
      </c>
      <c r="J20">
        <v>35</v>
      </c>
      <c r="K20" s="38">
        <f t="shared" si="6"/>
        <v>170.88295685426075</v>
      </c>
      <c r="L20" s="22">
        <f t="shared" si="1"/>
        <v>259.79959939271498</v>
      </c>
      <c r="M20" s="23">
        <f t="shared" si="4"/>
        <v>439.52824054796787</v>
      </c>
      <c r="T20" s="58">
        <v>128.72</v>
      </c>
      <c r="U20">
        <v>2.0099999999999996E-3</v>
      </c>
      <c r="V20">
        <v>1.3333333333333334E-2</v>
      </c>
      <c r="W20">
        <v>3.9210560847676823E-2</v>
      </c>
      <c r="Z20">
        <f t="shared" si="10"/>
        <v>1.7900000000000001E-3</v>
      </c>
      <c r="AA20">
        <f t="shared" si="11"/>
        <v>0.99821000000000004</v>
      </c>
      <c r="AB20" s="34">
        <f t="shared" si="15"/>
        <v>0.98136283561553228</v>
      </c>
      <c r="AC20">
        <f t="shared" ref="AC20:CN20" si="38">AB21/AB$3</f>
        <v>0.98050816964259457</v>
      </c>
      <c r="AD20">
        <f t="shared" si="38"/>
        <v>0.97957569846198278</v>
      </c>
      <c r="AE20">
        <f t="shared" si="38"/>
        <v>0.97855581786692769</v>
      </c>
      <c r="AF20">
        <f t="shared" si="38"/>
        <v>0.97742920560452418</v>
      </c>
      <c r="AG20">
        <f t="shared" si="38"/>
        <v>0.97620597568621481</v>
      </c>
      <c r="AH20">
        <f t="shared" si="38"/>
        <v>0.9748571658918187</v>
      </c>
      <c r="AI20">
        <f t="shared" si="38"/>
        <v>0.97338325971047179</v>
      </c>
      <c r="AJ20">
        <f t="shared" si="38"/>
        <v>0.97177503839760337</v>
      </c>
      <c r="AK20">
        <f t="shared" si="38"/>
        <v>0.97001367728615862</v>
      </c>
      <c r="AL20">
        <f t="shared" si="38"/>
        <v>0.96809024198959925</v>
      </c>
      <c r="AM20">
        <f t="shared" si="38"/>
        <v>0.96597657134597714</v>
      </c>
      <c r="AN20">
        <f t="shared" si="38"/>
        <v>0.96366416436522118</v>
      </c>
      <c r="AO20">
        <f t="shared" si="38"/>
        <v>0.96114471783713018</v>
      </c>
      <c r="AP20">
        <f t="shared" si="38"/>
        <v>0.95838128595386674</v>
      </c>
      <c r="AQ20">
        <f t="shared" si="38"/>
        <v>0.95536624012890425</v>
      </c>
      <c r="AR20">
        <f t="shared" si="38"/>
        <v>0.95206358827022342</v>
      </c>
      <c r="AS20">
        <f t="shared" si="38"/>
        <v>0.94845706995737245</v>
      </c>
      <c r="AT20">
        <f t="shared" si="38"/>
        <v>0.94452148455302731</v>
      </c>
      <c r="AU20">
        <f t="shared" si="38"/>
        <v>0.94022291148059001</v>
      </c>
      <c r="AV20">
        <f t="shared" si="38"/>
        <v>0.93552839564023171</v>
      </c>
      <c r="AW20">
        <f t="shared" si="38"/>
        <v>0.93040617081502208</v>
      </c>
      <c r="AX20">
        <f t="shared" si="38"/>
        <v>0.92482571214671705</v>
      </c>
      <c r="AY20">
        <f t="shared" si="38"/>
        <v>0.91874865715618614</v>
      </c>
      <c r="AZ20">
        <f t="shared" si="38"/>
        <v>0.91212927110980546</v>
      </c>
      <c r="BA20">
        <f t="shared" si="38"/>
        <v>0.90492408249641509</v>
      </c>
      <c r="BB20">
        <f t="shared" si="38"/>
        <v>0.89709230981456889</v>
      </c>
      <c r="BC20">
        <f t="shared" si="38"/>
        <v>0.8885780912046124</v>
      </c>
      <c r="BD20">
        <f t="shared" si="38"/>
        <v>0.8793382503020386</v>
      </c>
      <c r="BE20">
        <f t="shared" si="38"/>
        <v>0.86931604261688067</v>
      </c>
      <c r="BF20">
        <f t="shared" si="38"/>
        <v>0.85845986262482232</v>
      </c>
      <c r="BG20">
        <f t="shared" si="38"/>
        <v>0.84671528056734435</v>
      </c>
      <c r="BH20">
        <f t="shared" si="38"/>
        <v>0.83435857897489407</v>
      </c>
      <c r="BI20">
        <f t="shared" si="38"/>
        <v>0.82031858838581784</v>
      </c>
      <c r="BJ20">
        <f t="shared" si="38"/>
        <v>0.80555579643425435</v>
      </c>
      <c r="BK20">
        <f t="shared" si="38"/>
        <v>0.78967633384220615</v>
      </c>
      <c r="BL20">
        <f t="shared" si="38"/>
        <v>0.7726165074905339</v>
      </c>
      <c r="BM20">
        <f t="shared" si="38"/>
        <v>0.75433586647008111</v>
      </c>
      <c r="BN20">
        <f t="shared" si="38"/>
        <v>0.73478708681383942</v>
      </c>
      <c r="BO20">
        <f t="shared" si="38"/>
        <v>0.71394227396681054</v>
      </c>
      <c r="BP20">
        <f t="shared" si="38"/>
        <v>0.6917585666147249</v>
      </c>
      <c r="BQ20">
        <f t="shared" si="38"/>
        <v>0.66822626219599957</v>
      </c>
      <c r="BR20">
        <f t="shared" si="38"/>
        <v>0.64334221332509822</v>
      </c>
      <c r="BS20">
        <f t="shared" si="38"/>
        <v>0.61712112252559925</v>
      </c>
      <c r="BT20">
        <f t="shared" si="38"/>
        <v>0.58959912402580161</v>
      </c>
      <c r="BU20">
        <f t="shared" si="38"/>
        <v>0.56082513772864651</v>
      </c>
      <c r="BV20">
        <f t="shared" si="38"/>
        <v>0.53067250949598321</v>
      </c>
      <c r="BW20">
        <f t="shared" si="38"/>
        <v>0.49989706959137975</v>
      </c>
      <c r="BX20">
        <f t="shared" si="38"/>
        <v>0.46799180185149325</v>
      </c>
      <c r="BY20">
        <f t="shared" si="38"/>
        <v>0.4353453530373807</v>
      </c>
      <c r="BZ20">
        <f t="shared" si="38"/>
        <v>0.40216117449196342</v>
      </c>
      <c r="CA20">
        <f t="shared" si="38"/>
        <v>0.3686720077821849</v>
      </c>
      <c r="CB20">
        <f t="shared" si="38"/>
        <v>0.33514976314986422</v>
      </c>
      <c r="CC20">
        <f t="shared" si="38"/>
        <v>0.30188535174662273</v>
      </c>
      <c r="CD20">
        <f t="shared" si="38"/>
        <v>0.26919767160924146</v>
      </c>
      <c r="CE20">
        <f t="shared" si="38"/>
        <v>0.23740901207042006</v>
      </c>
      <c r="CF20">
        <f t="shared" si="38"/>
        <v>0.20685134209613384</v>
      </c>
      <c r="CG20">
        <f t="shared" si="38"/>
        <v>0.17784703639380489</v>
      </c>
      <c r="CH20">
        <f t="shared" si="38"/>
        <v>0.15069575755139217</v>
      </c>
      <c r="CI20">
        <f t="shared" si="38"/>
        <v>0.12566678266884429</v>
      </c>
      <c r="CJ20">
        <f t="shared" si="38"/>
        <v>0.10297340507234846</v>
      </c>
      <c r="CK20">
        <f t="shared" si="38"/>
        <v>8.2771718133994795E-2</v>
      </c>
      <c r="CL20">
        <f t="shared" si="38"/>
        <v>6.5147028667236942E-2</v>
      </c>
      <c r="CM20">
        <f t="shared" si="38"/>
        <v>5.0103402060501206E-2</v>
      </c>
      <c r="CN20">
        <f t="shared" si="38"/>
        <v>3.7570279806140569E-2</v>
      </c>
      <c r="CO20">
        <f t="shared" ref="CO20:DN20" si="39">CN21/CN$3</f>
        <v>2.7400603475859743E-2</v>
      </c>
      <c r="CP20">
        <f t="shared" si="39"/>
        <v>1.9384431217926823E-2</v>
      </c>
      <c r="CQ20">
        <f t="shared" si="39"/>
        <v>1.3262961123236003E-2</v>
      </c>
      <c r="CR20">
        <f t="shared" si="39"/>
        <v>8.7483835417089921E-3</v>
      </c>
      <c r="CS20">
        <f t="shared" si="39"/>
        <v>5.5434507834780811E-3</v>
      </c>
      <c r="CT20">
        <f t="shared" si="39"/>
        <v>3.3613606983725914E-3</v>
      </c>
      <c r="CU20">
        <f t="shared" si="39"/>
        <v>1.9421581876178165E-3</v>
      </c>
      <c r="CV20">
        <f t="shared" si="39"/>
        <v>1.0643311204384007E-3</v>
      </c>
      <c r="CW20">
        <f t="shared" si="39"/>
        <v>5.5037358300015623E-4</v>
      </c>
      <c r="CX20">
        <f t="shared" si="39"/>
        <v>2.6705958457456794E-4</v>
      </c>
      <c r="CY20">
        <f t="shared" si="39"/>
        <v>1.208554168563876E-4</v>
      </c>
      <c r="CZ20">
        <f t="shared" si="39"/>
        <v>5.0680543773014548E-5</v>
      </c>
      <c r="DA20">
        <f t="shared" si="39"/>
        <v>1.9537019914971445E-5</v>
      </c>
      <c r="DB20">
        <f t="shared" si="39"/>
        <v>0</v>
      </c>
      <c r="DC20">
        <f t="shared" si="39"/>
        <v>0</v>
      </c>
      <c r="DD20">
        <f t="shared" si="39"/>
        <v>0</v>
      </c>
      <c r="DE20">
        <f t="shared" si="39"/>
        <v>0</v>
      </c>
      <c r="DF20">
        <f t="shared" si="39"/>
        <v>0</v>
      </c>
      <c r="DG20">
        <f t="shared" si="39"/>
        <v>0</v>
      </c>
      <c r="DH20">
        <f t="shared" si="39"/>
        <v>0</v>
      </c>
      <c r="DI20">
        <f t="shared" si="39"/>
        <v>0</v>
      </c>
      <c r="DJ20">
        <f t="shared" si="39"/>
        <v>0</v>
      </c>
      <c r="DK20">
        <f t="shared" si="39"/>
        <v>0</v>
      </c>
      <c r="DL20">
        <f t="shared" si="39"/>
        <v>0</v>
      </c>
      <c r="DM20">
        <f t="shared" si="39"/>
        <v>0</v>
      </c>
      <c r="DN20">
        <f t="shared" si="39"/>
        <v>0</v>
      </c>
    </row>
    <row r="21" spans="1:118" x14ac:dyDescent="0.2">
      <c r="A21">
        <v>17</v>
      </c>
      <c r="B21">
        <v>36</v>
      </c>
      <c r="C21">
        <f t="shared" si="2"/>
        <v>0.43629668761085716</v>
      </c>
      <c r="D21">
        <f t="shared" si="3"/>
        <v>0.19035479962020588</v>
      </c>
      <c r="E21">
        <v>2.14E-3</v>
      </c>
      <c r="F21">
        <f t="shared" si="0"/>
        <v>0.99785999999999997</v>
      </c>
      <c r="G21" s="34">
        <f t="shared" si="5"/>
        <v>0.97543754171977348</v>
      </c>
      <c r="H21" s="34"/>
      <c r="I21">
        <v>177.77443130389457</v>
      </c>
      <c r="J21">
        <v>36</v>
      </c>
      <c r="K21" s="38">
        <f t="shared" si="6"/>
        <v>177.7744313038946</v>
      </c>
      <c r="L21" s="22">
        <f t="shared" si="1"/>
        <v>262.96241151589595</v>
      </c>
      <c r="M21" s="23">
        <f t="shared" si="4"/>
        <v>439.52824054796787</v>
      </c>
      <c r="T21" s="59">
        <v>134.69999999999999</v>
      </c>
      <c r="U21">
        <v>2.14E-3</v>
      </c>
      <c r="V21">
        <v>1.3513513513513514E-2</v>
      </c>
      <c r="W21">
        <v>3.9210560847676823E-2</v>
      </c>
      <c r="Z21">
        <f t="shared" si="10"/>
        <v>1.9E-3</v>
      </c>
      <c r="AA21">
        <f t="shared" si="11"/>
        <v>0.99809999999999999</v>
      </c>
      <c r="AB21" s="34">
        <f t="shared" si="15"/>
        <v>0.97949824622786275</v>
      </c>
      <c r="AC21">
        <f t="shared" ref="AC21:CN21" si="40">AB22/AB$3</f>
        <v>0.97853734822161309</v>
      </c>
      <c r="AD21">
        <f t="shared" si="40"/>
        <v>0.97747940646727405</v>
      </c>
      <c r="AE21">
        <f t="shared" si="40"/>
        <v>0.97632471060219106</v>
      </c>
      <c r="AF21">
        <f t="shared" si="40"/>
        <v>0.97505405263490508</v>
      </c>
      <c r="AG21">
        <f t="shared" si="40"/>
        <v>0.97366784014943064</v>
      </c>
      <c r="AH21">
        <f t="shared" si="40"/>
        <v>0.97214706297063946</v>
      </c>
      <c r="AI21">
        <f t="shared" si="40"/>
        <v>0.97048257759653456</v>
      </c>
      <c r="AJ21">
        <f t="shared" si="40"/>
        <v>0.96866535827473088</v>
      </c>
      <c r="AK21">
        <f t="shared" si="40"/>
        <v>0.96667683023629447</v>
      </c>
      <c r="AL21">
        <f t="shared" si="40"/>
        <v>0.96449862719181778</v>
      </c>
      <c r="AM21">
        <f t="shared" si="40"/>
        <v>0.96211266506059312</v>
      </c>
      <c r="AN21">
        <f t="shared" si="40"/>
        <v>0.959510771816807</v>
      </c>
      <c r="AO21">
        <f t="shared" si="40"/>
        <v>0.95666578345200937</v>
      </c>
      <c r="AP21">
        <f t="shared" si="40"/>
        <v>0.95355104427265935</v>
      </c>
      <c r="AQ21">
        <f t="shared" si="40"/>
        <v>0.95014994045780032</v>
      </c>
      <c r="AR21">
        <f t="shared" si="40"/>
        <v>0.94642737182766368</v>
      </c>
      <c r="AS21">
        <f t="shared" si="40"/>
        <v>0.94236797556824647</v>
      </c>
      <c r="AT21">
        <f t="shared" si="40"/>
        <v>0.93793816980569211</v>
      </c>
      <c r="AU21">
        <f t="shared" si="40"/>
        <v>0.93309602181156703</v>
      </c>
      <c r="AV21">
        <f t="shared" si="40"/>
        <v>0.92781964166015629</v>
      </c>
      <c r="AW21">
        <f t="shared" si="40"/>
        <v>0.92206973152451988</v>
      </c>
      <c r="AX21">
        <f t="shared" si="40"/>
        <v>0.91580866145328632</v>
      </c>
      <c r="AY21">
        <f t="shared" si="40"/>
        <v>0.90899154641718771</v>
      </c>
      <c r="AZ21">
        <f t="shared" si="40"/>
        <v>0.90156681415035345</v>
      </c>
      <c r="BA21">
        <f t="shared" si="40"/>
        <v>0.89350394057531057</v>
      </c>
      <c r="BB21">
        <f t="shared" si="40"/>
        <v>0.88474831963152045</v>
      </c>
      <c r="BC21">
        <f t="shared" si="40"/>
        <v>0.87524053405563107</v>
      </c>
      <c r="BD21">
        <f t="shared" si="40"/>
        <v>0.86493468976209154</v>
      </c>
      <c r="BE21">
        <f t="shared" si="40"/>
        <v>0.8537726717748908</v>
      </c>
      <c r="BF21">
        <f t="shared" si="40"/>
        <v>0.84170272610638563</v>
      </c>
      <c r="BG21">
        <f t="shared" si="40"/>
        <v>0.82900199689787524</v>
      </c>
      <c r="BH21">
        <f t="shared" si="40"/>
        <v>0.81460096782476865</v>
      </c>
      <c r="BI21">
        <f t="shared" si="40"/>
        <v>0.79944968349728263</v>
      </c>
      <c r="BJ21">
        <f t="shared" si="40"/>
        <v>0.78316940085134634</v>
      </c>
      <c r="BK21">
        <f t="shared" si="40"/>
        <v>0.76569386358341873</v>
      </c>
      <c r="BL21">
        <f t="shared" si="40"/>
        <v>0.74698109177199778</v>
      </c>
      <c r="BM21">
        <f t="shared" si="40"/>
        <v>0.72698364795187642</v>
      </c>
      <c r="BN21">
        <f t="shared" si="40"/>
        <v>0.70567482243427482</v>
      </c>
      <c r="BO21">
        <f t="shared" si="40"/>
        <v>0.68302857350404711</v>
      </c>
      <c r="BP21">
        <f t="shared" si="40"/>
        <v>0.65903146882818264</v>
      </c>
      <c r="BQ21">
        <f t="shared" si="40"/>
        <v>0.63368564670308847</v>
      </c>
      <c r="BR21">
        <f t="shared" si="40"/>
        <v>0.60701267853862995</v>
      </c>
      <c r="BS21">
        <f t="shared" si="40"/>
        <v>0.57905709168822028</v>
      </c>
      <c r="BT21">
        <f t="shared" si="40"/>
        <v>0.54987783104018328</v>
      </c>
      <c r="BU21">
        <f t="shared" si="40"/>
        <v>0.51957084059732717</v>
      </c>
      <c r="BV21">
        <f t="shared" si="40"/>
        <v>0.48805950698345585</v>
      </c>
      <c r="BW21">
        <f t="shared" si="40"/>
        <v>0.45608609041239123</v>
      </c>
      <c r="BX21">
        <f t="shared" si="40"/>
        <v>0.42324710567647189</v>
      </c>
      <c r="BY21">
        <f t="shared" si="40"/>
        <v>0.3899475396226425</v>
      </c>
      <c r="BZ21">
        <f t="shared" si="40"/>
        <v>0.35643947056397202</v>
      </c>
      <c r="CA21">
        <f t="shared" si="40"/>
        <v>0.32299723273805014</v>
      </c>
      <c r="CB21">
        <f t="shared" si="40"/>
        <v>0.28992465411042156</v>
      </c>
      <c r="CC21">
        <f t="shared" si="40"/>
        <v>0.25754141242856132</v>
      </c>
      <c r="CD21">
        <f t="shared" si="40"/>
        <v>0.22617719170936851</v>
      </c>
      <c r="CE21">
        <f t="shared" si="40"/>
        <v>0.19615919622318467</v>
      </c>
      <c r="CF21">
        <f t="shared" si="40"/>
        <v>0.16780401424864672</v>
      </c>
      <c r="CG21">
        <f t="shared" si="40"/>
        <v>0.1414008432256223</v>
      </c>
      <c r="CH21">
        <f t="shared" si="40"/>
        <v>0.11720061152044425</v>
      </c>
      <c r="CI21">
        <f t="shared" si="40"/>
        <v>9.5398681395226517E-2</v>
      </c>
      <c r="CJ21">
        <f t="shared" si="40"/>
        <v>7.6125149167835013E-2</v>
      </c>
      <c r="CK21">
        <f t="shared" si="40"/>
        <v>5.9437543074840303E-2</v>
      </c>
      <c r="CL21">
        <f t="shared" si="40"/>
        <v>4.5313015789496688E-2</v>
      </c>
      <c r="CM21">
        <f t="shared" si="40"/>
        <v>3.3652451027956228E-2</v>
      </c>
      <c r="CN21">
        <f t="shared" si="40"/>
        <v>2.4285428866689249E-2</v>
      </c>
      <c r="CO21">
        <f t="shared" ref="CO21:DN21" si="41">CN22/CN$3</f>
        <v>1.6982894034337868E-2</v>
      </c>
      <c r="CP21">
        <f t="shared" si="41"/>
        <v>1.1473257149266535E-2</v>
      </c>
      <c r="CQ21">
        <f t="shared" si="41"/>
        <v>7.4633334832673584E-3</v>
      </c>
      <c r="CR21">
        <f t="shared" si="41"/>
        <v>4.6575519137704493E-3</v>
      </c>
      <c r="CS21">
        <f t="shared" si="41"/>
        <v>2.7773242770303538E-3</v>
      </c>
      <c r="CT21">
        <f t="shared" si="41"/>
        <v>1.5755369865412014E-3</v>
      </c>
      <c r="CU21">
        <f t="shared" si="41"/>
        <v>8.4621774392695923E-4</v>
      </c>
      <c r="CV21">
        <f t="shared" si="41"/>
        <v>4.2804204670671153E-4</v>
      </c>
      <c r="CW21">
        <f t="shared" si="41"/>
        <v>2.0273561303393747E-4</v>
      </c>
      <c r="CX21">
        <f t="shared" si="41"/>
        <v>8.9344784019421668E-5</v>
      </c>
      <c r="CY21">
        <f t="shared" si="41"/>
        <v>3.639319167796401E-5</v>
      </c>
      <c r="CZ21">
        <f t="shared" si="41"/>
        <v>1.3588974201858389E-5</v>
      </c>
      <c r="DA21">
        <f t="shared" si="41"/>
        <v>0</v>
      </c>
      <c r="DB21">
        <f t="shared" si="41"/>
        <v>0</v>
      </c>
      <c r="DC21">
        <f t="shared" si="41"/>
        <v>0</v>
      </c>
      <c r="DD21">
        <f t="shared" si="41"/>
        <v>0</v>
      </c>
      <c r="DE21">
        <f t="shared" si="41"/>
        <v>0</v>
      </c>
      <c r="DF21">
        <f t="shared" si="41"/>
        <v>0</v>
      </c>
      <c r="DG21">
        <f t="shared" si="41"/>
        <v>0</v>
      </c>
      <c r="DH21">
        <f t="shared" si="41"/>
        <v>0</v>
      </c>
      <c r="DI21">
        <f t="shared" si="41"/>
        <v>0</v>
      </c>
      <c r="DJ21">
        <f t="shared" si="41"/>
        <v>0</v>
      </c>
      <c r="DK21">
        <f t="shared" si="41"/>
        <v>0</v>
      </c>
      <c r="DL21">
        <f t="shared" si="41"/>
        <v>0</v>
      </c>
      <c r="DM21">
        <f t="shared" si="41"/>
        <v>0</v>
      </c>
      <c r="DN21">
        <f t="shared" si="41"/>
        <v>0</v>
      </c>
    </row>
    <row r="22" spans="1:118" x14ac:dyDescent="0.2">
      <c r="A22">
        <v>18</v>
      </c>
      <c r="B22">
        <v>37</v>
      </c>
      <c r="C22">
        <f t="shared" si="2"/>
        <v>0.41552065486748302</v>
      </c>
      <c r="D22">
        <f t="shared" si="3"/>
        <v>0.17265741462150194</v>
      </c>
      <c r="E22">
        <v>2.2799999999999999E-3</v>
      </c>
      <c r="F22">
        <f t="shared" si="0"/>
        <v>0.99772000000000005</v>
      </c>
      <c r="G22" s="34">
        <f t="shared" si="5"/>
        <v>0.97321354412465244</v>
      </c>
      <c r="H22" s="34"/>
      <c r="I22">
        <v>184.9188792707287</v>
      </c>
      <c r="J22">
        <v>37</v>
      </c>
      <c r="K22" s="38">
        <f t="shared" si="6"/>
        <v>184.91887927072872</v>
      </c>
      <c r="L22" s="22">
        <f t="shared" si="1"/>
        <v>266.19423801075504</v>
      </c>
      <c r="M22" s="23">
        <f t="shared" si="4"/>
        <v>439.52824054796787</v>
      </c>
      <c r="T22" s="60">
        <v>140.94</v>
      </c>
      <c r="U22">
        <v>2.2799999999999999E-3</v>
      </c>
      <c r="V22">
        <v>1.3698630136986301E-2</v>
      </c>
      <c r="W22">
        <v>3.9210560847676823E-2</v>
      </c>
      <c r="Z22">
        <f t="shared" si="10"/>
        <v>2.0099999999999996E-3</v>
      </c>
      <c r="AA22">
        <f t="shared" si="11"/>
        <v>0.99799000000000004</v>
      </c>
      <c r="AB22" s="34">
        <f t="shared" si="15"/>
        <v>0.97752945475294484</v>
      </c>
      <c r="AC22">
        <f t="shared" ref="AC22:CN22" si="42">AB23/AB$3</f>
        <v>0.97644327829641875</v>
      </c>
      <c r="AD22">
        <f t="shared" si="42"/>
        <v>0.97525075342052869</v>
      </c>
      <c r="AE22">
        <f t="shared" si="42"/>
        <v>0.9739522415554277</v>
      </c>
      <c r="AF22">
        <f t="shared" si="42"/>
        <v>0.9725189120980543</v>
      </c>
      <c r="AG22">
        <f t="shared" si="42"/>
        <v>0.9709610435538153</v>
      </c>
      <c r="AH22">
        <f t="shared" si="42"/>
        <v>0.96925006472298691</v>
      </c>
      <c r="AI22">
        <f t="shared" si="42"/>
        <v>0.96737703334822545</v>
      </c>
      <c r="AJ22">
        <f t="shared" si="42"/>
        <v>0.965333149442266</v>
      </c>
      <c r="AK22">
        <f t="shared" si="42"/>
        <v>0.96309045919611769</v>
      </c>
      <c r="AL22">
        <f t="shared" si="42"/>
        <v>0.96064063268305033</v>
      </c>
      <c r="AM22">
        <f t="shared" si="42"/>
        <v>0.95796595947418195</v>
      </c>
      <c r="AN22">
        <f t="shared" si="42"/>
        <v>0.95503945162014092</v>
      </c>
      <c r="AO22">
        <f t="shared" si="42"/>
        <v>0.9518441879034113</v>
      </c>
      <c r="AP22">
        <f t="shared" si="42"/>
        <v>0.94834465557093051</v>
      </c>
      <c r="AQ22">
        <f t="shared" si="42"/>
        <v>0.94452505281029009</v>
      </c>
      <c r="AR22">
        <f t="shared" si="42"/>
        <v>0.94035130810053036</v>
      </c>
      <c r="AS22">
        <f t="shared" si="42"/>
        <v>0.93579967077853521</v>
      </c>
      <c r="AT22">
        <f t="shared" si="42"/>
        <v>0.93082859847856492</v>
      </c>
      <c r="AU22">
        <f t="shared" si="42"/>
        <v>0.92540731059183989</v>
      </c>
      <c r="AV22">
        <f t="shared" si="42"/>
        <v>0.91950637767088172</v>
      </c>
      <c r="AW22">
        <f t="shared" si="42"/>
        <v>0.9130795516421556</v>
      </c>
      <c r="AX22">
        <f t="shared" si="42"/>
        <v>0.90608277346865274</v>
      </c>
      <c r="AY22">
        <f t="shared" si="42"/>
        <v>0.89846542430967624</v>
      </c>
      <c r="AZ22">
        <f t="shared" si="42"/>
        <v>0.89018904095577622</v>
      </c>
      <c r="BA22">
        <f t="shared" si="42"/>
        <v>0.88120932635299432</v>
      </c>
      <c r="BB22">
        <f t="shared" si="42"/>
        <v>0.87146824735385131</v>
      </c>
      <c r="BC22">
        <f t="shared" si="42"/>
        <v>0.86090409410780022</v>
      </c>
      <c r="BD22">
        <f t="shared" si="42"/>
        <v>0.84946965750914527</v>
      </c>
      <c r="BE22">
        <f t="shared" si="42"/>
        <v>0.83710702922184477</v>
      </c>
      <c r="BF22">
        <f t="shared" si="42"/>
        <v>0.82409430507623982</v>
      </c>
      <c r="BG22">
        <f t="shared" si="42"/>
        <v>0.80937122961133368</v>
      </c>
      <c r="BH22">
        <f t="shared" si="42"/>
        <v>0.79387751920330651</v>
      </c>
      <c r="BI22">
        <f t="shared" si="42"/>
        <v>0.77723297679289316</v>
      </c>
      <c r="BJ22">
        <f t="shared" si="42"/>
        <v>0.75938454614749129</v>
      </c>
      <c r="BK22">
        <f t="shared" si="42"/>
        <v>0.74028814118972075</v>
      </c>
      <c r="BL22">
        <f t="shared" si="42"/>
        <v>0.71989555738434563</v>
      </c>
      <c r="BM22">
        <f t="shared" si="42"/>
        <v>0.69818055582002281</v>
      </c>
      <c r="BN22">
        <f t="shared" si="42"/>
        <v>0.67511910262287023</v>
      </c>
      <c r="BO22">
        <f t="shared" si="42"/>
        <v>0.65071449169157103</v>
      </c>
      <c r="BP22">
        <f t="shared" si="42"/>
        <v>0.62496613220445396</v>
      </c>
      <c r="BQ22">
        <f t="shared" si="42"/>
        <v>0.59790141823376508</v>
      </c>
      <c r="BR22">
        <f t="shared" si="42"/>
        <v>0.56957213652636729</v>
      </c>
      <c r="BS22">
        <f t="shared" si="42"/>
        <v>0.5400460154211848</v>
      </c>
      <c r="BT22">
        <f t="shared" si="42"/>
        <v>0.50942881778886739</v>
      </c>
      <c r="BU22">
        <f t="shared" si="42"/>
        <v>0.47784930209736193</v>
      </c>
      <c r="BV22">
        <f t="shared" si="42"/>
        <v>0.44528597179142582</v>
      </c>
      <c r="BW22">
        <f t="shared" si="42"/>
        <v>0.41247969930806244</v>
      </c>
      <c r="BX22">
        <f t="shared" si="42"/>
        <v>0.37911089749652926</v>
      </c>
      <c r="BY22">
        <f t="shared" si="42"/>
        <v>0.34561440384294417</v>
      </c>
      <c r="BZ22">
        <f t="shared" si="42"/>
        <v>0.31228018455580164</v>
      </c>
      <c r="CA22">
        <f t="shared" si="42"/>
        <v>0.27941198615237767</v>
      </c>
      <c r="CB22">
        <f t="shared" si="42"/>
        <v>0.24733762166814172</v>
      </c>
      <c r="CC22">
        <f t="shared" si="42"/>
        <v>0.21638371930835285</v>
      </c>
      <c r="CD22">
        <f t="shared" si="42"/>
        <v>0.18687890464986581</v>
      </c>
      <c r="CE22">
        <f t="shared" si="42"/>
        <v>0.15913022475213418</v>
      </c>
      <c r="CF22">
        <f t="shared" si="42"/>
        <v>0.1334159376086714</v>
      </c>
      <c r="CG22">
        <f t="shared" si="42"/>
        <v>0.10997167780186326</v>
      </c>
      <c r="CH22">
        <f t="shared" si="42"/>
        <v>8.8971672229630108E-2</v>
      </c>
      <c r="CI22">
        <f t="shared" si="42"/>
        <v>7.0525383195049071E-2</v>
      </c>
      <c r="CJ22">
        <f t="shared" si="42"/>
        <v>5.4664708365930625E-2</v>
      </c>
      <c r="CK22">
        <f t="shared" si="42"/>
        <v>4.13417830857052E-2</v>
      </c>
      <c r="CL22">
        <f t="shared" si="42"/>
        <v>3.0434940185173336E-2</v>
      </c>
      <c r="CM22">
        <f t="shared" si="42"/>
        <v>2.1752944344470893E-2</v>
      </c>
      <c r="CN22">
        <f t="shared" si="42"/>
        <v>1.5052108811573995E-2</v>
      </c>
      <c r="CO22">
        <f t="shared" ref="CO22:DN22" si="43">CN23/CN$3</f>
        <v>1.0051835321043904E-2</v>
      </c>
      <c r="CP22">
        <f t="shared" si="43"/>
        <v>6.4562312630352609E-3</v>
      </c>
      <c r="CQ22">
        <f t="shared" si="43"/>
        <v>3.9734041131567078E-3</v>
      </c>
      <c r="CR22">
        <f t="shared" si="43"/>
        <v>2.333480084318133E-3</v>
      </c>
      <c r="CS22">
        <f t="shared" si="43"/>
        <v>1.3017874351296678E-3</v>
      </c>
      <c r="CT22">
        <f t="shared" si="43"/>
        <v>6.8647722040586718E-4</v>
      </c>
      <c r="CU22">
        <f t="shared" si="43"/>
        <v>3.403233900751051E-4</v>
      </c>
      <c r="CV22">
        <f t="shared" si="43"/>
        <v>1.5767356832488419E-4</v>
      </c>
      <c r="CW22">
        <f t="shared" si="43"/>
        <v>6.7825199340503761E-5</v>
      </c>
      <c r="CX22">
        <f t="shared" si="43"/>
        <v>2.6904394811768451E-5</v>
      </c>
      <c r="CY22">
        <f t="shared" si="43"/>
        <v>9.7581064846124895E-6</v>
      </c>
      <c r="CZ22">
        <f t="shared" si="43"/>
        <v>0</v>
      </c>
      <c r="DA22">
        <f t="shared" si="43"/>
        <v>0</v>
      </c>
      <c r="DB22">
        <f t="shared" si="43"/>
        <v>0</v>
      </c>
      <c r="DC22">
        <f t="shared" si="43"/>
        <v>0</v>
      </c>
      <c r="DD22">
        <f t="shared" si="43"/>
        <v>0</v>
      </c>
      <c r="DE22">
        <f t="shared" si="43"/>
        <v>0</v>
      </c>
      <c r="DF22">
        <f t="shared" si="43"/>
        <v>0</v>
      </c>
      <c r="DG22">
        <f t="shared" si="43"/>
        <v>0</v>
      </c>
      <c r="DH22">
        <f t="shared" si="43"/>
        <v>0</v>
      </c>
      <c r="DI22">
        <f t="shared" si="43"/>
        <v>0</v>
      </c>
      <c r="DJ22">
        <f t="shared" si="43"/>
        <v>0</v>
      </c>
      <c r="DK22">
        <f t="shared" si="43"/>
        <v>0</v>
      </c>
      <c r="DL22">
        <f t="shared" si="43"/>
        <v>0</v>
      </c>
      <c r="DM22">
        <f t="shared" si="43"/>
        <v>0</v>
      </c>
      <c r="DN22">
        <f t="shared" si="43"/>
        <v>0</v>
      </c>
    </row>
    <row r="23" spans="1:118" x14ac:dyDescent="0.2">
      <c r="A23">
        <v>19</v>
      </c>
      <c r="B23">
        <v>38</v>
      </c>
      <c r="C23">
        <f t="shared" si="2"/>
        <v>0.39573395701665048</v>
      </c>
      <c r="D23">
        <f t="shared" si="3"/>
        <v>0.15660536473605619</v>
      </c>
      <c r="E23">
        <v>2.4300000000000003E-3</v>
      </c>
      <c r="F23">
        <f t="shared" si="0"/>
        <v>0.99756999999999996</v>
      </c>
      <c r="G23" s="34">
        <f t="shared" si="5"/>
        <v>0.97084863521242948</v>
      </c>
      <c r="H23" s="34"/>
      <c r="I23">
        <v>192.32332040478812</v>
      </c>
      <c r="J23">
        <v>38</v>
      </c>
      <c r="K23" s="38">
        <f t="shared" si="6"/>
        <v>192.32332040478806</v>
      </c>
      <c r="L23" s="22">
        <f t="shared" si="1"/>
        <v>269.49706032672736</v>
      </c>
      <c r="M23" s="23">
        <f t="shared" si="4"/>
        <v>439.52824054796787</v>
      </c>
      <c r="T23" s="60">
        <v>147.44999999999999</v>
      </c>
      <c r="U23">
        <v>2.4300000000000003E-3</v>
      </c>
      <c r="V23">
        <v>1.3888888888888888E-2</v>
      </c>
      <c r="W23">
        <v>3.9210560847676823E-2</v>
      </c>
      <c r="Z23">
        <f t="shared" si="10"/>
        <v>2.14E-3</v>
      </c>
      <c r="AA23">
        <f t="shared" si="11"/>
        <v>0.99785999999999997</v>
      </c>
      <c r="AB23" s="34">
        <f t="shared" si="15"/>
        <v>0.97543754171977348</v>
      </c>
      <c r="AC23">
        <f t="shared" ref="AC23:CN23" si="44">AB24/AB$3</f>
        <v>0.97421698762190301</v>
      </c>
      <c r="AD23">
        <f t="shared" si="44"/>
        <v>0.97288089408971679</v>
      </c>
      <c r="AE23">
        <f t="shared" si="44"/>
        <v>0.97141996572738354</v>
      </c>
      <c r="AF23">
        <f t="shared" si="44"/>
        <v>0.96981530952242179</v>
      </c>
      <c r="AG23">
        <f t="shared" si="44"/>
        <v>0.9680675796440249</v>
      </c>
      <c r="AH23">
        <f t="shared" si="44"/>
        <v>0.96614846451587322</v>
      </c>
      <c r="AI23">
        <f t="shared" si="44"/>
        <v>0.96404925635350769</v>
      </c>
      <c r="AJ23">
        <f t="shared" si="44"/>
        <v>0.96175176345783508</v>
      </c>
      <c r="AK23">
        <f t="shared" si="44"/>
        <v>0.95923809735933308</v>
      </c>
      <c r="AL23">
        <f t="shared" si="44"/>
        <v>0.95650027155618644</v>
      </c>
      <c r="AM23">
        <f t="shared" si="44"/>
        <v>0.95350183810303246</v>
      </c>
      <c r="AN23">
        <f t="shared" si="44"/>
        <v>0.95022605278397543</v>
      </c>
      <c r="AO23">
        <f t="shared" si="44"/>
        <v>0.94664711863745854</v>
      </c>
      <c r="AP23">
        <f t="shared" si="44"/>
        <v>0.94273045520995058</v>
      </c>
      <c r="AQ23">
        <f t="shared" si="44"/>
        <v>0.93846120197124838</v>
      </c>
      <c r="AR23">
        <f t="shared" si="44"/>
        <v>0.93379705948306913</v>
      </c>
      <c r="AS23">
        <f t="shared" si="44"/>
        <v>0.92870630927403386</v>
      </c>
      <c r="AT23">
        <f t="shared" si="44"/>
        <v>0.92315857082710173</v>
      </c>
      <c r="AU23">
        <f t="shared" si="44"/>
        <v>0.91711566108893738</v>
      </c>
      <c r="AV23">
        <f t="shared" si="44"/>
        <v>0.91054119048859039</v>
      </c>
      <c r="AW23">
        <f t="shared" si="44"/>
        <v>0.90338264680371616</v>
      </c>
      <c r="AX23">
        <f t="shared" si="44"/>
        <v>0.89559033495188534</v>
      </c>
      <c r="AY23">
        <f t="shared" si="44"/>
        <v>0.88712679065488831</v>
      </c>
      <c r="AZ23">
        <f t="shared" si="44"/>
        <v>0.87794003975222468</v>
      </c>
      <c r="BA23">
        <f t="shared" si="44"/>
        <v>0.86798237436443593</v>
      </c>
      <c r="BB23">
        <f t="shared" si="44"/>
        <v>0.85719359746219559</v>
      </c>
      <c r="BC23">
        <f t="shared" si="44"/>
        <v>0.84551112890515268</v>
      </c>
      <c r="BD23">
        <f t="shared" si="44"/>
        <v>0.83288800979456667</v>
      </c>
      <c r="BE23">
        <f t="shared" si="44"/>
        <v>0.81959475017052352</v>
      </c>
      <c r="BF23">
        <f t="shared" si="44"/>
        <v>0.80457975193203457</v>
      </c>
      <c r="BG23">
        <f t="shared" si="44"/>
        <v>0.78878082553002127</v>
      </c>
      <c r="BH23">
        <f t="shared" si="44"/>
        <v>0.77181566294464665</v>
      </c>
      <c r="BI23">
        <f t="shared" si="44"/>
        <v>0.75362841128769331</v>
      </c>
      <c r="BJ23">
        <f t="shared" si="44"/>
        <v>0.73418816690631739</v>
      </c>
      <c r="BK23">
        <f t="shared" si="44"/>
        <v>0.71344529319018191</v>
      </c>
      <c r="BL23">
        <f t="shared" si="44"/>
        <v>0.69137329540077752</v>
      </c>
      <c r="BM23">
        <f t="shared" si="44"/>
        <v>0.66794933775301535</v>
      </c>
      <c r="BN23">
        <f t="shared" si="44"/>
        <v>0.64317921787778265</v>
      </c>
      <c r="BO23">
        <f t="shared" si="44"/>
        <v>0.61707905961603382</v>
      </c>
      <c r="BP23">
        <f t="shared" si="44"/>
        <v>0.58967429471886845</v>
      </c>
      <c r="BQ23">
        <f t="shared" si="44"/>
        <v>0.56102285875710656</v>
      </c>
      <c r="BR23">
        <f t="shared" si="44"/>
        <v>0.5312000616885858</v>
      </c>
      <c r="BS23">
        <f t="shared" si="44"/>
        <v>0.50032023052680241</v>
      </c>
      <c r="BT23">
        <f t="shared" si="44"/>
        <v>0.46852168372042141</v>
      </c>
      <c r="BU23">
        <f t="shared" si="44"/>
        <v>0.43597058926154919</v>
      </c>
      <c r="BV23">
        <f t="shared" si="44"/>
        <v>0.4027121800284475</v>
      </c>
      <c r="BW23">
        <f t="shared" si="44"/>
        <v>0.36946631626421755</v>
      </c>
      <c r="BX23">
        <f t="shared" si="44"/>
        <v>0.33600977956014877</v>
      </c>
      <c r="BY23">
        <f t="shared" si="44"/>
        <v>0.30279623535084194</v>
      </c>
      <c r="BZ23">
        <f t="shared" si="44"/>
        <v>0.27014109645184176</v>
      </c>
      <c r="CA23">
        <f t="shared" si="44"/>
        <v>0.2383691595064549</v>
      </c>
      <c r="CB23">
        <f t="shared" si="44"/>
        <v>0.20781059634935592</v>
      </c>
      <c r="CC23">
        <f t="shared" si="44"/>
        <v>0.17878704807852663</v>
      </c>
      <c r="CD23">
        <f t="shared" si="44"/>
        <v>0.15160177381911072</v>
      </c>
      <c r="CE23">
        <f t="shared" si="44"/>
        <v>0.12651966779367918</v>
      </c>
      <c r="CF23">
        <f t="shared" si="44"/>
        <v>0.10376157715639205</v>
      </c>
      <c r="CG23">
        <f t="shared" si="44"/>
        <v>8.348389948650653E-2</v>
      </c>
      <c r="CH23">
        <f t="shared" si="44"/>
        <v>6.5774088129198618E-2</v>
      </c>
      <c r="CI23">
        <f t="shared" si="44"/>
        <v>5.0643572418532769E-2</v>
      </c>
      <c r="CJ23">
        <f t="shared" si="44"/>
        <v>3.802203790392307E-2</v>
      </c>
      <c r="CK23">
        <f t="shared" si="44"/>
        <v>2.7767622027344747E-2</v>
      </c>
      <c r="CL23">
        <f t="shared" si="44"/>
        <v>1.967314533569603E-2</v>
      </c>
      <c r="CM23">
        <f t="shared" si="44"/>
        <v>1.3482474904703058E-2</v>
      </c>
      <c r="CN23">
        <f t="shared" si="44"/>
        <v>8.909042163394422E-3</v>
      </c>
      <c r="CO23">
        <f t="shared" ref="CO23:DN23" si="45">CN24/CN$3</f>
        <v>5.6563687718578217E-3</v>
      </c>
      <c r="CP23">
        <f t="shared" si="45"/>
        <v>3.4372329621273415E-3</v>
      </c>
      <c r="CQ23">
        <f t="shared" si="45"/>
        <v>1.9907151947326424E-3</v>
      </c>
      <c r="CR23">
        <f t="shared" si="45"/>
        <v>1.0937487851215956E-3</v>
      </c>
      <c r="CS23">
        <f t="shared" si="45"/>
        <v>5.6720180336034779E-4</v>
      </c>
      <c r="CT23">
        <f t="shared" si="45"/>
        <v>2.7608054373062752E-4</v>
      </c>
      <c r="CU23">
        <f t="shared" si="45"/>
        <v>1.2536152396806565E-4</v>
      </c>
      <c r="CV23">
        <f t="shared" si="45"/>
        <v>5.2749692283089991E-5</v>
      </c>
      <c r="CW23">
        <f t="shared" si="45"/>
        <v>2.0424202277405901E-5</v>
      </c>
      <c r="CX23">
        <f t="shared" si="45"/>
        <v>7.2138753808794749E-6</v>
      </c>
      <c r="CY23">
        <f t="shared" si="45"/>
        <v>0</v>
      </c>
      <c r="CZ23">
        <f t="shared" si="45"/>
        <v>0</v>
      </c>
      <c r="DA23">
        <f t="shared" si="45"/>
        <v>0</v>
      </c>
      <c r="DB23">
        <f t="shared" si="45"/>
        <v>0</v>
      </c>
      <c r="DC23">
        <f t="shared" si="45"/>
        <v>0</v>
      </c>
      <c r="DD23">
        <f t="shared" si="45"/>
        <v>0</v>
      </c>
      <c r="DE23">
        <f t="shared" si="45"/>
        <v>0</v>
      </c>
      <c r="DF23">
        <f t="shared" si="45"/>
        <v>0</v>
      </c>
      <c r="DG23">
        <f t="shared" si="45"/>
        <v>0</v>
      </c>
      <c r="DH23">
        <f t="shared" si="45"/>
        <v>0</v>
      </c>
      <c r="DI23">
        <f t="shared" si="45"/>
        <v>0</v>
      </c>
      <c r="DJ23">
        <f t="shared" si="45"/>
        <v>0</v>
      </c>
      <c r="DK23">
        <f t="shared" si="45"/>
        <v>0</v>
      </c>
      <c r="DL23">
        <f t="shared" si="45"/>
        <v>0</v>
      </c>
      <c r="DM23">
        <f t="shared" si="45"/>
        <v>0</v>
      </c>
      <c r="DN23">
        <f t="shared" si="45"/>
        <v>0</v>
      </c>
    </row>
    <row r="24" spans="1:118" x14ac:dyDescent="0.2">
      <c r="A24">
        <v>20</v>
      </c>
      <c r="B24">
        <v>39</v>
      </c>
      <c r="C24">
        <f t="shared" si="2"/>
        <v>0.37688948287300045</v>
      </c>
      <c r="D24">
        <f t="shared" si="3"/>
        <v>0.1420456823002777</v>
      </c>
      <c r="E24">
        <v>2.5999999999999999E-3</v>
      </c>
      <c r="F24">
        <f t="shared" si="0"/>
        <v>0.99739999999999995</v>
      </c>
      <c r="G24" s="34">
        <f t="shared" si="5"/>
        <v>0.9683244287608771</v>
      </c>
      <c r="H24" s="34"/>
      <c r="I24">
        <v>199.99547543032315</v>
      </c>
      <c r="J24">
        <v>39</v>
      </c>
      <c r="K24" s="38">
        <f t="shared" si="6"/>
        <v>199.99547543032315</v>
      </c>
      <c r="L24" s="22">
        <f t="shared" si="1"/>
        <v>272.87292620705063</v>
      </c>
      <c r="M24" s="23">
        <f t="shared" si="4"/>
        <v>439.52824054796787</v>
      </c>
      <c r="T24" s="60">
        <v>154.24</v>
      </c>
      <c r="U24">
        <v>2.5999999999999999E-3</v>
      </c>
      <c r="V24">
        <v>1.4084507042253521E-2</v>
      </c>
      <c r="W24">
        <v>3.9210560847676823E-2</v>
      </c>
      <c r="Z24">
        <f t="shared" si="10"/>
        <v>2.2799999999999999E-3</v>
      </c>
      <c r="AA24">
        <f t="shared" si="11"/>
        <v>0.99772000000000005</v>
      </c>
      <c r="AB24" s="34">
        <f t="shared" si="15"/>
        <v>0.97321354412465244</v>
      </c>
      <c r="AC24">
        <f t="shared" ref="AC24:CN24" si="46">AB25/AB$3</f>
        <v>0.97184964034198174</v>
      </c>
      <c r="AD24">
        <f t="shared" si="46"/>
        <v>0.97035140376508344</v>
      </c>
      <c r="AE24">
        <f t="shared" si="46"/>
        <v>0.9687194182226615</v>
      </c>
      <c r="AF24">
        <f t="shared" si="46"/>
        <v>0.96692525990004496</v>
      </c>
      <c r="AG24">
        <f t="shared" si="46"/>
        <v>0.96496976338916385</v>
      </c>
      <c r="AH24">
        <f t="shared" si="46"/>
        <v>0.96282491379793878</v>
      </c>
      <c r="AI24">
        <f t="shared" si="46"/>
        <v>0.96047263361243607</v>
      </c>
      <c r="AJ24">
        <f t="shared" si="46"/>
        <v>0.95790475640400363</v>
      </c>
      <c r="AK24">
        <f t="shared" si="46"/>
        <v>0.95510378115971439</v>
      </c>
      <c r="AL24">
        <f t="shared" si="46"/>
        <v>0.95204298029073475</v>
      </c>
      <c r="AM24">
        <f t="shared" si="46"/>
        <v>0.9486961888389932</v>
      </c>
      <c r="AN24">
        <f t="shared" si="46"/>
        <v>0.94503781853577484</v>
      </c>
      <c r="AO24">
        <f t="shared" si="46"/>
        <v>0.94104296769512485</v>
      </c>
      <c r="AP24">
        <f t="shared" si="46"/>
        <v>0.93667812568750297</v>
      </c>
      <c r="AQ24">
        <f t="shared" si="46"/>
        <v>0.93192012739350816</v>
      </c>
      <c r="AR24">
        <f t="shared" si="46"/>
        <v>0.92671887777218742</v>
      </c>
      <c r="AS24">
        <f t="shared" si="46"/>
        <v>0.921053769285616</v>
      </c>
      <c r="AT24">
        <f t="shared" si="46"/>
        <v>0.91488707003249126</v>
      </c>
      <c r="AU24">
        <f t="shared" si="46"/>
        <v>0.90817378339332</v>
      </c>
      <c r="AV24">
        <f t="shared" si="46"/>
        <v>0.90087124304560184</v>
      </c>
      <c r="AW24">
        <f t="shared" si="46"/>
        <v>0.89292147575372871</v>
      </c>
      <c r="AX24">
        <f t="shared" si="46"/>
        <v>0.88428798492479266</v>
      </c>
      <c r="AY24">
        <f t="shared" si="46"/>
        <v>0.87491992601547708</v>
      </c>
      <c r="AZ24">
        <f t="shared" si="46"/>
        <v>0.86476215975554382</v>
      </c>
      <c r="BA24">
        <f t="shared" si="46"/>
        <v>0.8537648230723468</v>
      </c>
      <c r="BB24">
        <f t="shared" si="46"/>
        <v>0.84186697593957138</v>
      </c>
      <c r="BC24">
        <f t="shared" si="46"/>
        <v>0.82900675166892401</v>
      </c>
      <c r="BD24">
        <f t="shared" si="46"/>
        <v>0.81546399262966407</v>
      </c>
      <c r="BE24">
        <f t="shared" si="46"/>
        <v>0.80018674648648569</v>
      </c>
      <c r="BF24">
        <f t="shared" si="46"/>
        <v>0.78411124304288349</v>
      </c>
      <c r="BG24">
        <f t="shared" si="46"/>
        <v>0.76686060638854203</v>
      </c>
      <c r="BH24">
        <f t="shared" si="46"/>
        <v>0.74837562126101809</v>
      </c>
      <c r="BI24">
        <f t="shared" si="46"/>
        <v>0.72862302060116746</v>
      </c>
      <c r="BJ24">
        <f t="shared" si="46"/>
        <v>0.70756650397429477</v>
      </c>
      <c r="BK24">
        <f t="shared" si="46"/>
        <v>0.68517859067398657</v>
      </c>
      <c r="BL24">
        <f t="shared" si="46"/>
        <v>0.6614368317099234</v>
      </c>
      <c r="BM24">
        <f t="shared" si="46"/>
        <v>0.63634865458392065</v>
      </c>
      <c r="BN24">
        <f t="shared" si="46"/>
        <v>0.60993328410568015</v>
      </c>
      <c r="BO24">
        <f t="shared" si="46"/>
        <v>0.58223260511951636</v>
      </c>
      <c r="BP24">
        <f t="shared" si="46"/>
        <v>0.55330318422060876</v>
      </c>
      <c r="BQ24">
        <f t="shared" si="46"/>
        <v>0.52322674876264019</v>
      </c>
      <c r="BR24">
        <f t="shared" si="46"/>
        <v>0.49212498515077341</v>
      </c>
      <c r="BS24">
        <f t="shared" si="46"/>
        <v>0.46014451601550027</v>
      </c>
      <c r="BT24">
        <f t="shared" si="46"/>
        <v>0.42746044335916378</v>
      </c>
      <c r="BU24">
        <f t="shared" si="46"/>
        <v>0.39428744122225234</v>
      </c>
      <c r="BV24">
        <f t="shared" si="46"/>
        <v>0.36071735389508086</v>
      </c>
      <c r="BW24">
        <f t="shared" si="46"/>
        <v>0.32746169076813858</v>
      </c>
      <c r="BX24">
        <f t="shared" si="46"/>
        <v>0.29438152797044204</v>
      </c>
      <c r="BY24">
        <f t="shared" si="46"/>
        <v>0.26193691135259933</v>
      </c>
      <c r="BZ24">
        <f t="shared" si="46"/>
        <v>0.23046007079403072</v>
      </c>
      <c r="CA24">
        <f t="shared" si="46"/>
        <v>0.20027538412572829</v>
      </c>
      <c r="CB24">
        <f t="shared" si="46"/>
        <v>0.17170350523365541</v>
      </c>
      <c r="CC24">
        <f t="shared" si="46"/>
        <v>0.14503741701274322</v>
      </c>
      <c r="CD24">
        <f t="shared" si="46"/>
        <v>0.12053402231036021</v>
      </c>
      <c r="CE24">
        <f t="shared" si="46"/>
        <v>9.8398141233178138E-2</v>
      </c>
      <c r="CF24">
        <f t="shared" si="46"/>
        <v>7.8769563682503499E-2</v>
      </c>
      <c r="CG24">
        <f t="shared" si="46"/>
        <v>6.1717142373389655E-2</v>
      </c>
      <c r="CH24">
        <f t="shared" si="46"/>
        <v>4.7231714944696211E-2</v>
      </c>
      <c r="CI24">
        <f t="shared" si="46"/>
        <v>3.5225136795710488E-2</v>
      </c>
      <c r="CJ24">
        <f t="shared" si="46"/>
        <v>2.5537881978548962E-2</v>
      </c>
      <c r="CK24">
        <f t="shared" si="46"/>
        <v>1.7948990878475631E-2</v>
      </c>
      <c r="CL24">
        <f t="shared" si="46"/>
        <v>1.21934154790644E-2</v>
      </c>
      <c r="CM24">
        <f t="shared" si="46"/>
        <v>7.9800072465956509E-3</v>
      </c>
      <c r="CN24">
        <f t="shared" si="46"/>
        <v>5.0132962061853062E-3</v>
      </c>
      <c r="CO24">
        <f t="shared" ref="CO24:DN24" si="47">CN25/CN$3</f>
        <v>3.0113941704493848E-3</v>
      </c>
      <c r="CP24">
        <f t="shared" si="47"/>
        <v>1.7220880863554197E-3</v>
      </c>
      <c r="CQ24">
        <f t="shared" si="47"/>
        <v>9.3308802607508447E-4</v>
      </c>
      <c r="CR24">
        <f t="shared" si="47"/>
        <v>4.765572831653306E-4</v>
      </c>
      <c r="CS24">
        <f t="shared" si="47"/>
        <v>2.2811154925743101E-4</v>
      </c>
      <c r="CT24">
        <f t="shared" si="47"/>
        <v>1.0169702908861389E-4</v>
      </c>
      <c r="CU24">
        <f t="shared" si="47"/>
        <v>4.1939697843516357E-5</v>
      </c>
      <c r="CV24">
        <f t="shared" si="47"/>
        <v>1.5884514837206893E-5</v>
      </c>
      <c r="CW24">
        <f t="shared" si="47"/>
        <v>5.476341356640844E-6</v>
      </c>
      <c r="CX24">
        <f t="shared" si="47"/>
        <v>0</v>
      </c>
      <c r="CY24">
        <f t="shared" si="47"/>
        <v>0</v>
      </c>
      <c r="CZ24">
        <f t="shared" si="47"/>
        <v>0</v>
      </c>
      <c r="DA24">
        <f t="shared" si="47"/>
        <v>0</v>
      </c>
      <c r="DB24">
        <f t="shared" si="47"/>
        <v>0</v>
      </c>
      <c r="DC24">
        <f t="shared" si="47"/>
        <v>0</v>
      </c>
      <c r="DD24">
        <f t="shared" si="47"/>
        <v>0</v>
      </c>
      <c r="DE24">
        <f t="shared" si="47"/>
        <v>0</v>
      </c>
      <c r="DF24">
        <f t="shared" si="47"/>
        <v>0</v>
      </c>
      <c r="DG24">
        <f t="shared" si="47"/>
        <v>0</v>
      </c>
      <c r="DH24">
        <f t="shared" si="47"/>
        <v>0</v>
      </c>
      <c r="DI24">
        <f t="shared" si="47"/>
        <v>0</v>
      </c>
      <c r="DJ24">
        <f t="shared" si="47"/>
        <v>0</v>
      </c>
      <c r="DK24">
        <f t="shared" si="47"/>
        <v>0</v>
      </c>
      <c r="DL24">
        <f t="shared" si="47"/>
        <v>0</v>
      </c>
      <c r="DM24">
        <f t="shared" si="47"/>
        <v>0</v>
      </c>
      <c r="DN24">
        <f t="shared" si="47"/>
        <v>0</v>
      </c>
    </row>
    <row r="25" spans="1:118" x14ac:dyDescent="0.2">
      <c r="A25">
        <v>21</v>
      </c>
      <c r="B25">
        <v>40</v>
      </c>
      <c r="C25">
        <f t="shared" si="2"/>
        <v>0.35894236464095275</v>
      </c>
      <c r="D25">
        <f t="shared" si="3"/>
        <v>0.12883962113403868</v>
      </c>
      <c r="E25">
        <v>2.7799999999999999E-3</v>
      </c>
      <c r="F25">
        <f t="shared" si="0"/>
        <v>0.99722</v>
      </c>
      <c r="G25" s="34">
        <f t="shared" si="5"/>
        <v>0.96563248684892189</v>
      </c>
      <c r="H25" s="34"/>
      <c r="I25">
        <v>207.93588249632987</v>
      </c>
      <c r="J25">
        <v>40</v>
      </c>
      <c r="K25" s="38">
        <f t="shared" si="6"/>
        <v>207.93588249632981</v>
      </c>
      <c r="L25" s="22">
        <f t="shared" si="1"/>
        <v>276.32395212479463</v>
      </c>
      <c r="M25" s="23">
        <f t="shared" si="4"/>
        <v>439.52824054796787</v>
      </c>
      <c r="T25" s="58">
        <v>161.32</v>
      </c>
      <c r="U25">
        <v>2.7799999999999999E-3</v>
      </c>
      <c r="V25">
        <v>1.4285714285714285E-2</v>
      </c>
      <c r="W25">
        <v>3.9210560847676823E-2</v>
      </c>
      <c r="Z25">
        <f t="shared" si="10"/>
        <v>2.4300000000000003E-3</v>
      </c>
      <c r="AA25">
        <f t="shared" si="11"/>
        <v>0.99756999999999996</v>
      </c>
      <c r="AB25" s="34">
        <f t="shared" si="15"/>
        <v>0.97084863521242948</v>
      </c>
      <c r="AC25">
        <f t="shared" ref="AC25:CN25" si="48">AB26/AB$3</f>
        <v>0.96932283127709251</v>
      </c>
      <c r="AD25">
        <f t="shared" si="48"/>
        <v>0.96765382686261658</v>
      </c>
      <c r="AE25">
        <f t="shared" si="48"/>
        <v>0.96583263435635791</v>
      </c>
      <c r="AF25">
        <f t="shared" si="48"/>
        <v>0.96383109906836473</v>
      </c>
      <c r="AG25">
        <f t="shared" si="48"/>
        <v>0.96165026740310533</v>
      </c>
      <c r="AH25">
        <f t="shared" si="48"/>
        <v>0.95925283336774825</v>
      </c>
      <c r="AI25">
        <f t="shared" si="48"/>
        <v>0.95663074307798623</v>
      </c>
      <c r="AJ25">
        <f t="shared" si="48"/>
        <v>0.95377618690390242</v>
      </c>
      <c r="AK25">
        <f t="shared" si="48"/>
        <v>0.95065299753951027</v>
      </c>
      <c r="AL25">
        <f t="shared" si="48"/>
        <v>0.94724468367006953</v>
      </c>
      <c r="AM25">
        <f t="shared" si="48"/>
        <v>0.94351630764793226</v>
      </c>
      <c r="AN25">
        <f t="shared" si="48"/>
        <v>0.93944319465004311</v>
      </c>
      <c r="AO25">
        <f t="shared" si="48"/>
        <v>0.93500147184252236</v>
      </c>
      <c r="AP25">
        <f t="shared" si="48"/>
        <v>0.93014947915146051</v>
      </c>
      <c r="AQ25">
        <f t="shared" si="48"/>
        <v>0.92485617282786536</v>
      </c>
      <c r="AR25">
        <f t="shared" si="48"/>
        <v>0.91908271421934473</v>
      </c>
      <c r="AS25">
        <f t="shared" si="48"/>
        <v>0.91280112751281728</v>
      </c>
      <c r="AT25">
        <f t="shared" si="48"/>
        <v>0.90596692109967414</v>
      </c>
      <c r="AU25">
        <f t="shared" si="48"/>
        <v>0.89852897781368324</v>
      </c>
      <c r="AV25">
        <f t="shared" si="48"/>
        <v>0.89043915405113339</v>
      </c>
      <c r="AW25">
        <f t="shared" si="48"/>
        <v>0.8816528067297168</v>
      </c>
      <c r="AX25">
        <f t="shared" si="48"/>
        <v>0.87212018225222754</v>
      </c>
      <c r="AY25">
        <f t="shared" si="48"/>
        <v>0.86178737792598481</v>
      </c>
      <c r="AZ25">
        <f t="shared" si="48"/>
        <v>0.85059735557874838</v>
      </c>
      <c r="BA25">
        <f t="shared" si="48"/>
        <v>0.83849950803581308</v>
      </c>
      <c r="BB25">
        <f t="shared" si="48"/>
        <v>0.82543373256923092</v>
      </c>
      <c r="BC25">
        <f t="shared" si="48"/>
        <v>0.81166393042400986</v>
      </c>
      <c r="BD25">
        <f t="shared" si="48"/>
        <v>0.79615380528419377</v>
      </c>
      <c r="BE25">
        <f t="shared" si="48"/>
        <v>0.7798299956558693</v>
      </c>
      <c r="BF25">
        <f t="shared" si="48"/>
        <v>0.76232079159872179</v>
      </c>
      <c r="BG25">
        <f t="shared" si="48"/>
        <v>0.74357104977252242</v>
      </c>
      <c r="BH25">
        <f t="shared" si="48"/>
        <v>0.72354451814757725</v>
      </c>
      <c r="BI25">
        <f t="shared" si="48"/>
        <v>0.70220314987416954</v>
      </c>
      <c r="BJ25">
        <f t="shared" si="48"/>
        <v>0.67953271908683288</v>
      </c>
      <c r="BK25">
        <f t="shared" si="48"/>
        <v>0.65551035769780253</v>
      </c>
      <c r="BL25">
        <f t="shared" si="48"/>
        <v>0.63014425520172734</v>
      </c>
      <c r="BM25">
        <f t="shared" si="48"/>
        <v>0.60345579262847782</v>
      </c>
      <c r="BN25">
        <f t="shared" si="48"/>
        <v>0.57549035155223238</v>
      </c>
      <c r="BO25">
        <f t="shared" si="48"/>
        <v>0.54632049803574467</v>
      </c>
      <c r="BP25">
        <f t="shared" si="48"/>
        <v>0.51602714869966626</v>
      </c>
      <c r="BQ25">
        <f t="shared" si="48"/>
        <v>0.48473818912366029</v>
      </c>
      <c r="BR25">
        <f t="shared" si="48"/>
        <v>0.45260734884316639</v>
      </c>
      <c r="BS25">
        <f t="shared" si="48"/>
        <v>0.4198174506319019</v>
      </c>
      <c r="BT25">
        <f t="shared" si="48"/>
        <v>0.38659095036959401</v>
      </c>
      <c r="BU25">
        <f t="shared" si="48"/>
        <v>0.35317114685159573</v>
      </c>
      <c r="BV25">
        <f t="shared" si="48"/>
        <v>0.31970739793074904</v>
      </c>
      <c r="BW25">
        <f t="shared" si="48"/>
        <v>0.28689246189887396</v>
      </c>
      <c r="BX25">
        <f t="shared" si="48"/>
        <v>0.2546576845861106</v>
      </c>
      <c r="BY25">
        <f t="shared" si="48"/>
        <v>0.22346099844401601</v>
      </c>
      <c r="BZ25">
        <f t="shared" si="48"/>
        <v>0.19363024688043662</v>
      </c>
      <c r="CA25">
        <f t="shared" si="48"/>
        <v>0.16547753613388308</v>
      </c>
      <c r="CB25">
        <f t="shared" si="48"/>
        <v>0.13929103455069833</v>
      </c>
      <c r="CC25">
        <f t="shared" si="48"/>
        <v>0.11531489914432162</v>
      </c>
      <c r="CD25">
        <f t="shared" si="48"/>
        <v>9.3742925171436481E-2</v>
      </c>
      <c r="CE25">
        <f t="shared" si="48"/>
        <v>7.4697964935754896E-2</v>
      </c>
      <c r="CF25">
        <f t="shared" si="48"/>
        <v>5.8231975343564342E-2</v>
      </c>
      <c r="CG25">
        <f t="shared" si="48"/>
        <v>4.4318462766907353E-2</v>
      </c>
      <c r="CH25">
        <f t="shared" si="48"/>
        <v>3.2852019329783468E-2</v>
      </c>
      <c r="CI25">
        <f t="shared" si="48"/>
        <v>2.3659315380206901E-2</v>
      </c>
      <c r="CJ25">
        <f t="shared" si="48"/>
        <v>1.6507686910934037E-2</v>
      </c>
      <c r="CK25">
        <f t="shared" si="48"/>
        <v>1.1124784546479197E-2</v>
      </c>
      <c r="CL25">
        <f t="shared" si="48"/>
        <v>7.2170387537486402E-3</v>
      </c>
      <c r="CM25">
        <f t="shared" si="48"/>
        <v>4.4905096778043024E-3</v>
      </c>
      <c r="CN25">
        <f t="shared" si="48"/>
        <v>2.6690287672109943E-3</v>
      </c>
      <c r="CO25">
        <f t="shared" ref="CO25:DN25" si="49">CN26/CN$3</f>
        <v>1.5087385933368466E-3</v>
      </c>
      <c r="CP25">
        <f t="shared" si="49"/>
        <v>8.0717712783651249E-4</v>
      </c>
      <c r="CQ25">
        <f t="shared" si="49"/>
        <v>4.0655578384117519E-4</v>
      </c>
      <c r="CR25">
        <f t="shared" si="49"/>
        <v>1.9165704257060096E-4</v>
      </c>
      <c r="CS25">
        <f t="shared" si="49"/>
        <v>8.4027170284467232E-5</v>
      </c>
      <c r="CT25">
        <f t="shared" si="49"/>
        <v>3.4022741081595776E-5</v>
      </c>
      <c r="CU25">
        <f t="shared" si="49"/>
        <v>1.2629301211618084E-5</v>
      </c>
      <c r="CV25">
        <f t="shared" si="49"/>
        <v>4.259114963300284E-6</v>
      </c>
      <c r="CW25">
        <f t="shared" si="49"/>
        <v>0</v>
      </c>
      <c r="CX25">
        <f t="shared" si="49"/>
        <v>0</v>
      </c>
      <c r="CY25">
        <f t="shared" si="49"/>
        <v>0</v>
      </c>
      <c r="CZ25">
        <f t="shared" si="49"/>
        <v>0</v>
      </c>
      <c r="DA25">
        <f t="shared" si="49"/>
        <v>0</v>
      </c>
      <c r="DB25">
        <f t="shared" si="49"/>
        <v>0</v>
      </c>
      <c r="DC25">
        <f t="shared" si="49"/>
        <v>0</v>
      </c>
      <c r="DD25">
        <f t="shared" si="49"/>
        <v>0</v>
      </c>
      <c r="DE25">
        <f t="shared" si="49"/>
        <v>0</v>
      </c>
      <c r="DF25">
        <f t="shared" si="49"/>
        <v>0</v>
      </c>
      <c r="DG25">
        <f t="shared" si="49"/>
        <v>0</v>
      </c>
      <c r="DH25">
        <f t="shared" si="49"/>
        <v>0</v>
      </c>
      <c r="DI25">
        <f t="shared" si="49"/>
        <v>0</v>
      </c>
      <c r="DJ25">
        <f t="shared" si="49"/>
        <v>0</v>
      </c>
      <c r="DK25">
        <f t="shared" si="49"/>
        <v>0</v>
      </c>
      <c r="DL25">
        <f t="shared" si="49"/>
        <v>0</v>
      </c>
      <c r="DM25">
        <f t="shared" si="49"/>
        <v>0</v>
      </c>
      <c r="DN25">
        <f t="shared" si="49"/>
        <v>0</v>
      </c>
    </row>
    <row r="26" spans="1:118" x14ac:dyDescent="0.2">
      <c r="A26">
        <v>22</v>
      </c>
      <c r="B26">
        <v>41</v>
      </c>
      <c r="C26">
        <f t="shared" si="2"/>
        <v>0.34184987108662168</v>
      </c>
      <c r="D26">
        <f t="shared" si="3"/>
        <v>0.11686133436193986</v>
      </c>
      <c r="E26">
        <v>2.98E-3</v>
      </c>
      <c r="F26">
        <f t="shared" si="0"/>
        <v>0.99702000000000002</v>
      </c>
      <c r="G26" s="34">
        <f t="shared" si="5"/>
        <v>0.96275490203811209</v>
      </c>
      <c r="H26" s="34"/>
      <c r="I26">
        <v>216.15358358350844</v>
      </c>
      <c r="J26">
        <v>41</v>
      </c>
      <c r="K26" s="38">
        <f t="shared" si="6"/>
        <v>216.15358358350844</v>
      </c>
      <c r="L26" s="22">
        <f t="shared" si="1"/>
        <v>279.85232581409281</v>
      </c>
      <c r="M26" s="23">
        <f t="shared" si="4"/>
        <v>439.52824054796787</v>
      </c>
      <c r="T26" s="59">
        <v>168.69</v>
      </c>
      <c r="U26">
        <v>2.98E-3</v>
      </c>
      <c r="V26">
        <v>1.4492753623188406E-2</v>
      </c>
      <c r="W26">
        <v>3.9210560847676823E-2</v>
      </c>
      <c r="Z26">
        <f t="shared" si="10"/>
        <v>2.5999999999999999E-3</v>
      </c>
      <c r="AA26">
        <f t="shared" si="11"/>
        <v>0.99739999999999995</v>
      </c>
      <c r="AB26" s="34">
        <f t="shared" si="15"/>
        <v>0.9683244287608771</v>
      </c>
      <c r="AC26">
        <f t="shared" ref="AC26:CN26" si="50">AB27/AB$3</f>
        <v>0.96662811380614222</v>
      </c>
      <c r="AD26">
        <f t="shared" si="50"/>
        <v>0.96477021845856592</v>
      </c>
      <c r="AE26">
        <f t="shared" si="50"/>
        <v>0.96274196992641747</v>
      </c>
      <c r="AF26">
        <f t="shared" si="50"/>
        <v>0.96051552008756969</v>
      </c>
      <c r="AG26">
        <f t="shared" si="50"/>
        <v>0.95808254491103961</v>
      </c>
      <c r="AH26">
        <f t="shared" si="50"/>
        <v>0.95541582203427722</v>
      </c>
      <c r="AI26">
        <f t="shared" si="50"/>
        <v>0.95250766457532021</v>
      </c>
      <c r="AJ26">
        <f t="shared" si="50"/>
        <v>0.94933158987293031</v>
      </c>
      <c r="AK26">
        <f t="shared" si="50"/>
        <v>0.94586170643191125</v>
      </c>
      <c r="AL26">
        <f t="shared" si="50"/>
        <v>0.94207272769723094</v>
      </c>
      <c r="AM26">
        <f t="shared" si="50"/>
        <v>0.9379306911066565</v>
      </c>
      <c r="AN26">
        <f t="shared" si="50"/>
        <v>0.93341196934039006</v>
      </c>
      <c r="AO26">
        <f t="shared" si="50"/>
        <v>0.92848451158377943</v>
      </c>
      <c r="AP26">
        <f t="shared" si="50"/>
        <v>0.92309894609949239</v>
      </c>
      <c r="AQ26">
        <f t="shared" si="50"/>
        <v>0.91723535796376388</v>
      </c>
      <c r="AR26">
        <f t="shared" si="50"/>
        <v>0.91084773309993983</v>
      </c>
      <c r="AS26">
        <f t="shared" si="50"/>
        <v>0.90390131651956696</v>
      </c>
      <c r="AT26">
        <f t="shared" si="50"/>
        <v>0.89634555239759595</v>
      </c>
      <c r="AU26">
        <f t="shared" si="50"/>
        <v>0.88812401225060045</v>
      </c>
      <c r="AV26">
        <f t="shared" si="50"/>
        <v>0.87920181192700819</v>
      </c>
      <c r="AW26">
        <f t="shared" si="50"/>
        <v>0.8695212641091159</v>
      </c>
      <c r="AX26">
        <f t="shared" si="50"/>
        <v>0.8590296583166217</v>
      </c>
      <c r="AY26">
        <f t="shared" si="50"/>
        <v>0.84767130067555752</v>
      </c>
      <c r="AZ26">
        <f t="shared" si="50"/>
        <v>0.83538867486100021</v>
      </c>
      <c r="BA26">
        <f t="shared" si="50"/>
        <v>0.82213199763895395</v>
      </c>
      <c r="BB26">
        <f t="shared" si="50"/>
        <v>0.80816565888388237</v>
      </c>
      <c r="BC26">
        <f t="shared" si="50"/>
        <v>0.79244372855156942</v>
      </c>
      <c r="BD26">
        <f t="shared" si="50"/>
        <v>0.77589965247776371</v>
      </c>
      <c r="BE26">
        <f t="shared" si="50"/>
        <v>0.75815852007659279</v>
      </c>
      <c r="BF26">
        <f t="shared" si="50"/>
        <v>0.73916910915786904</v>
      </c>
      <c r="BG26">
        <f t="shared" si="50"/>
        <v>0.71889936234106977</v>
      </c>
      <c r="BH26">
        <f t="shared" si="50"/>
        <v>0.69730879391954659</v>
      </c>
      <c r="BI26">
        <f t="shared" si="50"/>
        <v>0.67438186107615472</v>
      </c>
      <c r="BJ26">
        <f t="shared" si="50"/>
        <v>0.65010895235037258</v>
      </c>
      <c r="BK26">
        <f t="shared" si="50"/>
        <v>0.62449816267511993</v>
      </c>
      <c r="BL26">
        <f t="shared" si="50"/>
        <v>0.5975720986503501</v>
      </c>
      <c r="BM26">
        <f t="shared" si="50"/>
        <v>0.56937864401874771</v>
      </c>
      <c r="BN26">
        <f t="shared" si="50"/>
        <v>0.53999410666849068</v>
      </c>
      <c r="BO26">
        <f t="shared" si="50"/>
        <v>0.50951488608307649</v>
      </c>
      <c r="BP26">
        <f t="shared" si="50"/>
        <v>0.47806819164131875</v>
      </c>
      <c r="BQ26">
        <f t="shared" si="50"/>
        <v>0.4458137125370305</v>
      </c>
      <c r="BR26">
        <f t="shared" si="50"/>
        <v>0.41294084079055138</v>
      </c>
      <c r="BS26">
        <f t="shared" si="50"/>
        <v>0.37967870417698568</v>
      </c>
      <c r="BT26">
        <f t="shared" si="50"/>
        <v>0.34627724606505261</v>
      </c>
      <c r="BU26">
        <f t="shared" si="50"/>
        <v>0.31301911916603775</v>
      </c>
      <c r="BV26">
        <f t="shared" si="50"/>
        <v>0.2800988484011086</v>
      </c>
      <c r="BW26">
        <f t="shared" si="50"/>
        <v>0.24817919309023992</v>
      </c>
      <c r="BX26">
        <f t="shared" si="50"/>
        <v>0.21725101729725682</v>
      </c>
      <c r="BY26">
        <f t="shared" si="50"/>
        <v>0.18774969628267776</v>
      </c>
      <c r="BZ26">
        <f t="shared" si="50"/>
        <v>0.15998699148496084</v>
      </c>
      <c r="CA26">
        <f t="shared" si="50"/>
        <v>0.13424034163789</v>
      </c>
      <c r="CB26">
        <f t="shared" si="50"/>
        <v>0.1107461228402236</v>
      </c>
      <c r="CC26">
        <f t="shared" si="50"/>
        <v>8.9683856511513282E-2</v>
      </c>
      <c r="CD26">
        <f t="shared" si="50"/>
        <v>7.1164004214644333E-2</v>
      </c>
      <c r="CE26">
        <f t="shared" si="50"/>
        <v>5.5221964538055501E-2</v>
      </c>
      <c r="CF26">
        <f t="shared" si="50"/>
        <v>4.1815799174460093E-2</v>
      </c>
      <c r="CG26">
        <f t="shared" si="50"/>
        <v>3.0825706777522426E-2</v>
      </c>
      <c r="CH26">
        <f t="shared" si="50"/>
        <v>2.2065387303042361E-2</v>
      </c>
      <c r="CI26">
        <f t="shared" si="50"/>
        <v>1.5293381461765732E-2</v>
      </c>
      <c r="CJ26">
        <f t="shared" si="50"/>
        <v>1.0231464347396918E-2</v>
      </c>
      <c r="CK26">
        <f t="shared" si="50"/>
        <v>6.5845374773701101E-3</v>
      </c>
      <c r="CL26">
        <f t="shared" si="50"/>
        <v>4.0611720475094331E-3</v>
      </c>
      <c r="CM26">
        <f t="shared" si="50"/>
        <v>2.3907024473662319E-3</v>
      </c>
      <c r="CN26">
        <f t="shared" si="50"/>
        <v>1.3372101026603805E-3</v>
      </c>
      <c r="CO26">
        <f t="shared" ref="CO26:DN26" si="51">CN27/CN$3</f>
        <v>7.0717595346884694E-4</v>
      </c>
      <c r="CP26">
        <f t="shared" si="51"/>
        <v>3.5169514636964699E-4</v>
      </c>
      <c r="CQ26">
        <f t="shared" si="51"/>
        <v>1.6350453958740538E-4</v>
      </c>
      <c r="CR26">
        <f t="shared" si="51"/>
        <v>7.0598788201306527E-5</v>
      </c>
      <c r="CS26">
        <f t="shared" si="51"/>
        <v>2.811128981866851E-5</v>
      </c>
      <c r="CT26">
        <f t="shared" si="51"/>
        <v>1.0245268021900939E-5</v>
      </c>
      <c r="CU26">
        <f t="shared" si="51"/>
        <v>3.3862945338711565E-6</v>
      </c>
      <c r="CV26">
        <f t="shared" si="51"/>
        <v>0</v>
      </c>
      <c r="CW26">
        <f t="shared" si="51"/>
        <v>0</v>
      </c>
      <c r="CX26">
        <f t="shared" si="51"/>
        <v>0</v>
      </c>
      <c r="CY26">
        <f t="shared" si="51"/>
        <v>0</v>
      </c>
      <c r="CZ26">
        <f t="shared" si="51"/>
        <v>0</v>
      </c>
      <c r="DA26">
        <f t="shared" si="51"/>
        <v>0</v>
      </c>
      <c r="DB26">
        <f t="shared" si="51"/>
        <v>0</v>
      </c>
      <c r="DC26">
        <f t="shared" si="51"/>
        <v>0</v>
      </c>
      <c r="DD26">
        <f t="shared" si="51"/>
        <v>0</v>
      </c>
      <c r="DE26">
        <f t="shared" si="51"/>
        <v>0</v>
      </c>
      <c r="DF26">
        <f t="shared" si="51"/>
        <v>0</v>
      </c>
      <c r="DG26">
        <f t="shared" si="51"/>
        <v>0</v>
      </c>
      <c r="DH26">
        <f t="shared" si="51"/>
        <v>0</v>
      </c>
      <c r="DI26">
        <f t="shared" si="51"/>
        <v>0</v>
      </c>
      <c r="DJ26">
        <f t="shared" si="51"/>
        <v>0</v>
      </c>
      <c r="DK26">
        <f t="shared" si="51"/>
        <v>0</v>
      </c>
      <c r="DL26">
        <f t="shared" si="51"/>
        <v>0</v>
      </c>
      <c r="DM26">
        <f t="shared" si="51"/>
        <v>0</v>
      </c>
      <c r="DN26">
        <f t="shared" si="51"/>
        <v>0</v>
      </c>
    </row>
    <row r="27" spans="1:118" x14ac:dyDescent="0.2">
      <c r="A27">
        <v>23</v>
      </c>
      <c r="B27">
        <v>42</v>
      </c>
      <c r="C27">
        <f t="shared" si="2"/>
        <v>0.32557130579678251</v>
      </c>
      <c r="D27">
        <f t="shared" si="3"/>
        <v>0.10599667515822207</v>
      </c>
      <c r="E27">
        <v>3.2000000000000002E-3</v>
      </c>
      <c r="F27">
        <f t="shared" si="0"/>
        <v>0.99680000000000002</v>
      </c>
      <c r="G27" s="34">
        <f t="shared" si="5"/>
        <v>0.95967408635159013</v>
      </c>
      <c r="H27" s="34"/>
      <c r="I27">
        <v>224.65072191398755</v>
      </c>
      <c r="J27">
        <v>42</v>
      </c>
      <c r="K27" s="38">
        <f t="shared" si="6"/>
        <v>224.65072191398755</v>
      </c>
      <c r="L27" s="22">
        <f t="shared" si="1"/>
        <v>283.4603089004562</v>
      </c>
      <c r="M27" s="23">
        <f t="shared" si="4"/>
        <v>439.52824054796787</v>
      </c>
      <c r="T27" s="60">
        <v>176.35</v>
      </c>
      <c r="U27">
        <v>3.2000000000000002E-3</v>
      </c>
      <c r="V27">
        <v>1.4705882352941176E-2</v>
      </c>
      <c r="W27">
        <v>3.9210560847676823E-2</v>
      </c>
      <c r="Z27">
        <f t="shared" si="10"/>
        <v>2.7799999999999999E-3</v>
      </c>
      <c r="AA27">
        <f t="shared" si="11"/>
        <v>0.99722</v>
      </c>
      <c r="AB27" s="34">
        <f t="shared" si="15"/>
        <v>0.96563248684892189</v>
      </c>
      <c r="AC27">
        <f t="shared" ref="AC27:CN27" si="52">AB28/AB$3</f>
        <v>0.96374756202699985</v>
      </c>
      <c r="AD27">
        <f t="shared" si="52"/>
        <v>0.96168295375949842</v>
      </c>
      <c r="AE27">
        <f t="shared" si="52"/>
        <v>0.95943013754987072</v>
      </c>
      <c r="AF27">
        <f t="shared" si="52"/>
        <v>0.95695200750804466</v>
      </c>
      <c r="AG27">
        <f t="shared" si="52"/>
        <v>0.95425021473139537</v>
      </c>
      <c r="AH27">
        <f t="shared" si="52"/>
        <v>0.95129797984130959</v>
      </c>
      <c r="AI27">
        <f t="shared" si="52"/>
        <v>0.94806897885839925</v>
      </c>
      <c r="AJ27">
        <f t="shared" si="52"/>
        <v>0.94454695865997085</v>
      </c>
      <c r="AK27">
        <f t="shared" si="52"/>
        <v>0.94069730151479292</v>
      </c>
      <c r="AL27">
        <f t="shared" si="52"/>
        <v>0.93649565714926331</v>
      </c>
      <c r="AM27">
        <f t="shared" si="52"/>
        <v>0.93190917606975199</v>
      </c>
      <c r="AN27">
        <f t="shared" si="52"/>
        <v>0.92690608791408702</v>
      </c>
      <c r="AO27">
        <f t="shared" si="52"/>
        <v>0.92144659898597436</v>
      </c>
      <c r="AP27">
        <f t="shared" si="52"/>
        <v>0.91549261078363275</v>
      </c>
      <c r="AQ27">
        <f t="shared" si="52"/>
        <v>0.90901692915640897</v>
      </c>
      <c r="AR27">
        <f t="shared" si="52"/>
        <v>0.90196696770221507</v>
      </c>
      <c r="AS27">
        <f t="shared" si="52"/>
        <v>0.89430188453812942</v>
      </c>
      <c r="AT27">
        <f t="shared" si="52"/>
        <v>0.88596587090083145</v>
      </c>
      <c r="AU27">
        <f t="shared" si="52"/>
        <v>0.87691588721599789</v>
      </c>
      <c r="AV27">
        <f t="shared" si="52"/>
        <v>0.86710399499489255</v>
      </c>
      <c r="AW27">
        <f t="shared" si="52"/>
        <v>0.85646974993483815</v>
      </c>
      <c r="AX27">
        <f t="shared" si="52"/>
        <v>0.84495875251339569</v>
      </c>
      <c r="AY27">
        <f t="shared" si="52"/>
        <v>0.83251493781947838</v>
      </c>
      <c r="AZ27">
        <f t="shared" si="52"/>
        <v>0.81908188792771341</v>
      </c>
      <c r="BA27">
        <f t="shared" si="52"/>
        <v>0.8049329962483468</v>
      </c>
      <c r="BB27">
        <f t="shared" si="52"/>
        <v>0.78902829608151215</v>
      </c>
      <c r="BC27">
        <f t="shared" si="52"/>
        <v>0.77228396009721734</v>
      </c>
      <c r="BD27">
        <f t="shared" si="52"/>
        <v>0.7543374011354067</v>
      </c>
      <c r="BE27">
        <f t="shared" si="52"/>
        <v>0.73513324582186701</v>
      </c>
      <c r="BF27">
        <f t="shared" si="52"/>
        <v>0.71464347811601059</v>
      </c>
      <c r="BG27">
        <f t="shared" si="52"/>
        <v>0.69283207146258308</v>
      </c>
      <c r="BH27">
        <f t="shared" si="52"/>
        <v>0.66968141950445392</v>
      </c>
      <c r="BI27">
        <f t="shared" si="52"/>
        <v>0.64518112649155679</v>
      </c>
      <c r="BJ27">
        <f t="shared" si="52"/>
        <v>0.61935229781467693</v>
      </c>
      <c r="BK27">
        <f t="shared" si="52"/>
        <v>0.592217852646443</v>
      </c>
      <c r="BL27">
        <f t="shared" si="52"/>
        <v>0.56382720223956495</v>
      </c>
      <c r="BM27">
        <f t="shared" si="52"/>
        <v>0.5342593692556713</v>
      </c>
      <c r="BN27">
        <f t="shared" si="52"/>
        <v>0.50361470370223449</v>
      </c>
      <c r="BO27">
        <f t="shared" si="52"/>
        <v>0.47203497106280534</v>
      </c>
      <c r="BP27">
        <f t="shared" si="52"/>
        <v>0.43967931585252096</v>
      </c>
      <c r="BQ27">
        <f t="shared" si="52"/>
        <v>0.40674259877028524</v>
      </c>
      <c r="BR27">
        <f t="shared" si="52"/>
        <v>0.37345956700256666</v>
      </c>
      <c r="BS27">
        <f t="shared" si="52"/>
        <v>0.34008580890540946</v>
      </c>
      <c r="BT27">
        <f t="shared" si="52"/>
        <v>0.30690898595991672</v>
      </c>
      <c r="BU27">
        <f t="shared" si="52"/>
        <v>0.27423918049255741</v>
      </c>
      <c r="BV27">
        <f t="shared" si="52"/>
        <v>0.24230230979786302</v>
      </c>
      <c r="BW27">
        <f t="shared" si="52"/>
        <v>0.2117241514172146</v>
      </c>
      <c r="BX27">
        <f t="shared" si="52"/>
        <v>0.18253213222298215</v>
      </c>
      <c r="BY27">
        <f t="shared" si="52"/>
        <v>0.15512818655356259</v>
      </c>
      <c r="BZ27">
        <f t="shared" si="52"/>
        <v>0.12978624710234482</v>
      </c>
      <c r="CA27">
        <f t="shared" si="52"/>
        <v>0.1067304684260371</v>
      </c>
      <c r="CB27">
        <f t="shared" si="52"/>
        <v>8.6130582116527132E-2</v>
      </c>
      <c r="CC27">
        <f t="shared" si="52"/>
        <v>6.808260283215023E-2</v>
      </c>
      <c r="CD27">
        <f t="shared" si="52"/>
        <v>5.2609413395760099E-2</v>
      </c>
      <c r="CE27">
        <f t="shared" si="52"/>
        <v>3.9654340515132253E-2</v>
      </c>
      <c r="CF27">
        <f t="shared" si="52"/>
        <v>2.9084979115795735E-2</v>
      </c>
      <c r="CG27">
        <f t="shared" si="52"/>
        <v>2.0704394214190708E-2</v>
      </c>
      <c r="CH27">
        <f t="shared" si="52"/>
        <v>1.4263066352686574E-2</v>
      </c>
      <c r="CI27">
        <f t="shared" si="52"/>
        <v>9.4788378300024005E-3</v>
      </c>
      <c r="CJ27">
        <f t="shared" si="52"/>
        <v>6.0557991179372899E-3</v>
      </c>
      <c r="CK27">
        <f t="shared" si="52"/>
        <v>3.7052509292657063E-3</v>
      </c>
      <c r="CL27">
        <f t="shared" si="52"/>
        <v>2.1621273863735467E-3</v>
      </c>
      <c r="CM27">
        <f t="shared" si="52"/>
        <v>1.197765833154956E-3</v>
      </c>
      <c r="CN27">
        <f t="shared" si="52"/>
        <v>6.2677711931897378E-4</v>
      </c>
      <c r="CO27">
        <f t="shared" ref="CO27:DN27" si="53">CN28/CN$3</f>
        <v>3.081236346859114E-4</v>
      </c>
      <c r="CP27">
        <f t="shared" si="53"/>
        <v>1.4144123701548088E-4</v>
      </c>
      <c r="CQ27">
        <f t="shared" si="53"/>
        <v>6.0228532202416611E-5</v>
      </c>
      <c r="CR27">
        <f t="shared" si="53"/>
        <v>2.3618824592747094E-5</v>
      </c>
      <c r="CS27">
        <f t="shared" si="53"/>
        <v>8.4651527030956511E-6</v>
      </c>
      <c r="CT27">
        <f t="shared" si="53"/>
        <v>2.7470637147122982E-6</v>
      </c>
      <c r="CU27">
        <f t="shared" si="53"/>
        <v>0</v>
      </c>
      <c r="CV27">
        <f t="shared" si="53"/>
        <v>0</v>
      </c>
      <c r="CW27">
        <f t="shared" si="53"/>
        <v>0</v>
      </c>
      <c r="CX27">
        <f t="shared" si="53"/>
        <v>0</v>
      </c>
      <c r="CY27">
        <f t="shared" si="53"/>
        <v>0</v>
      </c>
      <c r="CZ27">
        <f t="shared" si="53"/>
        <v>0</v>
      </c>
      <c r="DA27">
        <f t="shared" si="53"/>
        <v>0</v>
      </c>
      <c r="DB27">
        <f t="shared" si="53"/>
        <v>0</v>
      </c>
      <c r="DC27">
        <f t="shared" si="53"/>
        <v>0</v>
      </c>
      <c r="DD27">
        <f t="shared" si="53"/>
        <v>0</v>
      </c>
      <c r="DE27">
        <f t="shared" si="53"/>
        <v>0</v>
      </c>
      <c r="DF27">
        <f t="shared" si="53"/>
        <v>0</v>
      </c>
      <c r="DG27">
        <f t="shared" si="53"/>
        <v>0</v>
      </c>
      <c r="DH27">
        <f t="shared" si="53"/>
        <v>0</v>
      </c>
      <c r="DI27">
        <f t="shared" si="53"/>
        <v>0</v>
      </c>
      <c r="DJ27">
        <f t="shared" si="53"/>
        <v>0</v>
      </c>
      <c r="DK27">
        <f t="shared" si="53"/>
        <v>0</v>
      </c>
      <c r="DL27">
        <f t="shared" si="53"/>
        <v>0</v>
      </c>
      <c r="DM27">
        <f t="shared" si="53"/>
        <v>0</v>
      </c>
      <c r="DN27">
        <f t="shared" si="53"/>
        <v>0</v>
      </c>
    </row>
    <row r="28" spans="1:118" x14ac:dyDescent="0.2">
      <c r="A28">
        <v>24</v>
      </c>
      <c r="B28">
        <v>43</v>
      </c>
      <c r="C28">
        <f t="shared" si="2"/>
        <v>0.31006791028265002</v>
      </c>
      <c r="D28">
        <f t="shared" si="3"/>
        <v>9.6142108987049502E-2</v>
      </c>
      <c r="E28">
        <v>3.4399999999999999E-3</v>
      </c>
      <c r="F28">
        <f t="shared" si="0"/>
        <v>0.99656</v>
      </c>
      <c r="G28" s="34">
        <f t="shared" si="5"/>
        <v>0.95637280749454068</v>
      </c>
      <c r="H28" s="34"/>
      <c r="I28">
        <v>233.43023476092185</v>
      </c>
      <c r="J28">
        <v>43</v>
      </c>
      <c r="K28" s="38">
        <f t="shared" si="6"/>
        <v>233.43023476092191</v>
      </c>
      <c r="L28" s="22">
        <f t="shared" si="1"/>
        <v>287.15023963421754</v>
      </c>
      <c r="M28" s="23">
        <f t="shared" si="4"/>
        <v>439.52824054796787</v>
      </c>
      <c r="T28" s="60">
        <v>184.32</v>
      </c>
      <c r="U28">
        <v>3.4399999999999999E-3</v>
      </c>
      <c r="V28">
        <v>1.4925373134328358E-2</v>
      </c>
      <c r="W28">
        <v>3.9210560847676823E-2</v>
      </c>
      <c r="Z28">
        <f t="shared" si="10"/>
        <v>2.98E-3</v>
      </c>
      <c r="AA28">
        <f t="shared" si="11"/>
        <v>0.99702000000000002</v>
      </c>
      <c r="AB28" s="34">
        <f t="shared" si="15"/>
        <v>0.96275490203811209</v>
      </c>
      <c r="AC28">
        <f t="shared" ref="AC28:CN28" si="54">AB29/AB$3</f>
        <v>0.96066356982851342</v>
      </c>
      <c r="AD28">
        <f t="shared" si="54"/>
        <v>0.95837476439856584</v>
      </c>
      <c r="AE28">
        <f t="shared" si="54"/>
        <v>0.95587065173956065</v>
      </c>
      <c r="AF28">
        <f t="shared" si="54"/>
        <v>0.95312419947801241</v>
      </c>
      <c r="AG28">
        <f t="shared" si="54"/>
        <v>0.95013739630590321</v>
      </c>
      <c r="AH28">
        <f t="shared" si="54"/>
        <v>0.94686493125524906</v>
      </c>
      <c r="AI28">
        <f t="shared" si="54"/>
        <v>0.943290711204953</v>
      </c>
      <c r="AJ28">
        <f t="shared" si="54"/>
        <v>0.93938973226568734</v>
      </c>
      <c r="AK28">
        <f t="shared" si="54"/>
        <v>0.93512837348982536</v>
      </c>
      <c r="AL28">
        <f t="shared" si="54"/>
        <v>0.93048335503036528</v>
      </c>
      <c r="AM28">
        <f t="shared" si="54"/>
        <v>0.92541376911254536</v>
      </c>
      <c r="AN28">
        <f t="shared" si="54"/>
        <v>0.91988013976769822</v>
      </c>
      <c r="AO28">
        <f t="shared" si="54"/>
        <v>0.91385387901033011</v>
      </c>
      <c r="AP28">
        <f t="shared" si="54"/>
        <v>0.90728979699101175</v>
      </c>
      <c r="AQ28">
        <f t="shared" si="54"/>
        <v>0.90015401409713369</v>
      </c>
      <c r="AR28">
        <f t="shared" si="54"/>
        <v>0.89238807850521784</v>
      </c>
      <c r="AS28">
        <f t="shared" si="54"/>
        <v>0.88394586871517755</v>
      </c>
      <c r="AT28">
        <f t="shared" si="54"/>
        <v>0.87478498161006302</v>
      </c>
      <c r="AU28">
        <f t="shared" si="54"/>
        <v>0.86484952460790576</v>
      </c>
      <c r="AV28">
        <f t="shared" si="54"/>
        <v>0.85408876403001932</v>
      </c>
      <c r="AW28">
        <f t="shared" si="54"/>
        <v>0.84244077543090579</v>
      </c>
      <c r="AX28">
        <f t="shared" si="54"/>
        <v>0.82985089001845602</v>
      </c>
      <c r="AY28">
        <f t="shared" si="54"/>
        <v>0.81626424623324212</v>
      </c>
      <c r="AZ28">
        <f t="shared" si="54"/>
        <v>0.80194669483226544</v>
      </c>
      <c r="BA28">
        <f t="shared" si="54"/>
        <v>0.78587218289718608</v>
      </c>
      <c r="BB28">
        <f t="shared" si="54"/>
        <v>0.76895541622919827</v>
      </c>
      <c r="BC28">
        <f t="shared" si="54"/>
        <v>0.75082218884611573</v>
      </c>
      <c r="BD28">
        <f t="shared" si="54"/>
        <v>0.73142817426292472</v>
      </c>
      <c r="BE28">
        <f t="shared" si="54"/>
        <v>0.71074152472549712</v>
      </c>
      <c r="BF28">
        <f t="shared" si="54"/>
        <v>0.68873050559952453</v>
      </c>
      <c r="BG28">
        <f t="shared" si="54"/>
        <v>0.66538206479123529</v>
      </c>
      <c r="BH28">
        <f t="shared" si="54"/>
        <v>0.6406842140399106</v>
      </c>
      <c r="BI28">
        <f t="shared" si="54"/>
        <v>0.61465760739724162</v>
      </c>
      <c r="BJ28">
        <f t="shared" si="54"/>
        <v>0.58733797754063632</v>
      </c>
      <c r="BK28">
        <f t="shared" si="54"/>
        <v>0.55877531050749851</v>
      </c>
      <c r="BL28">
        <f t="shared" si="54"/>
        <v>0.52905034040542853</v>
      </c>
      <c r="BM28">
        <f t="shared" si="54"/>
        <v>0.49826631554891676</v>
      </c>
      <c r="BN28">
        <f t="shared" si="54"/>
        <v>0.46656880609789803</v>
      </c>
      <c r="BO28">
        <f t="shared" si="54"/>
        <v>0.43413056288646218</v>
      </c>
      <c r="BP28">
        <f t="shared" si="54"/>
        <v>0.40114582061120613</v>
      </c>
      <c r="BQ28">
        <f t="shared" si="54"/>
        <v>0.36785393890185814</v>
      </c>
      <c r="BR28">
        <f t="shared" si="54"/>
        <v>0.33451520335553886</v>
      </c>
      <c r="BS28">
        <f t="shared" si="54"/>
        <v>0.30142145329095343</v>
      </c>
      <c r="BT28">
        <f t="shared" si="54"/>
        <v>0.26888603168934272</v>
      </c>
      <c r="BU28">
        <f t="shared" si="54"/>
        <v>0.2372333454768917</v>
      </c>
      <c r="BV28">
        <f t="shared" si="54"/>
        <v>0.20671052351165495</v>
      </c>
      <c r="BW28">
        <f t="shared" si="54"/>
        <v>0.17788851477922948</v>
      </c>
      <c r="BX28">
        <f t="shared" si="54"/>
        <v>0.15081717424923907</v>
      </c>
      <c r="BY28">
        <f t="shared" si="54"/>
        <v>0.1258446387778466</v>
      </c>
      <c r="BZ28">
        <f t="shared" si="54"/>
        <v>0.10318915148366119</v>
      </c>
      <c r="CA28">
        <f t="shared" si="54"/>
        <v>8.3007487208981864E-2</v>
      </c>
      <c r="CB28">
        <f t="shared" si="54"/>
        <v>6.5385170107940441E-2</v>
      </c>
      <c r="CC28">
        <f t="shared" si="54"/>
        <v>5.0331425795723687E-2</v>
      </c>
      <c r="CD28">
        <f t="shared" si="54"/>
        <v>3.7778293665361347E-2</v>
      </c>
      <c r="CE28">
        <f t="shared" si="54"/>
        <v>2.7581576545300253E-2</v>
      </c>
      <c r="CF28">
        <f t="shared" si="54"/>
        <v>1.9535217072915358E-2</v>
      </c>
      <c r="CG28">
        <f t="shared" si="54"/>
        <v>1.3383320420052866E-2</v>
      </c>
      <c r="CH28">
        <f t="shared" si="54"/>
        <v>8.8402485253951391E-3</v>
      </c>
      <c r="CI28">
        <f t="shared" si="54"/>
        <v>5.6103345348218229E-3</v>
      </c>
      <c r="CJ28">
        <f t="shared" si="54"/>
        <v>3.4077192796456699E-3</v>
      </c>
      <c r="CK28">
        <f t="shared" si="54"/>
        <v>1.9726385422317691E-3</v>
      </c>
      <c r="CL28">
        <f t="shared" si="54"/>
        <v>1.0832474418470107E-3</v>
      </c>
      <c r="CM28">
        <f t="shared" si="54"/>
        <v>5.6141680131639119E-4</v>
      </c>
      <c r="CN28">
        <f t="shared" si="54"/>
        <v>2.7309305865847014E-4</v>
      </c>
      <c r="CO28">
        <f t="shared" ref="CO28:DN28" si="55">CN29/CN$3</f>
        <v>1.2391808216163295E-4</v>
      </c>
      <c r="CP28">
        <f t="shared" si="55"/>
        <v>5.2101294067022511E-5</v>
      </c>
      <c r="CQ28">
        <f t="shared" si="55"/>
        <v>2.0149455448318473E-5</v>
      </c>
      <c r="CR28">
        <f t="shared" si="55"/>
        <v>7.1123366496139345E-6</v>
      </c>
      <c r="CS28">
        <f t="shared" si="55"/>
        <v>2.2697613942810364E-6</v>
      </c>
      <c r="CT28">
        <f t="shared" si="55"/>
        <v>0</v>
      </c>
      <c r="CU28">
        <f t="shared" si="55"/>
        <v>0</v>
      </c>
      <c r="CV28">
        <f t="shared" si="55"/>
        <v>0</v>
      </c>
      <c r="CW28">
        <f t="shared" si="55"/>
        <v>0</v>
      </c>
      <c r="CX28">
        <f t="shared" si="55"/>
        <v>0</v>
      </c>
      <c r="CY28">
        <f t="shared" si="55"/>
        <v>0</v>
      </c>
      <c r="CZ28">
        <f t="shared" si="55"/>
        <v>0</v>
      </c>
      <c r="DA28">
        <f t="shared" si="55"/>
        <v>0</v>
      </c>
      <c r="DB28">
        <f t="shared" si="55"/>
        <v>0</v>
      </c>
      <c r="DC28">
        <f t="shared" si="55"/>
        <v>0</v>
      </c>
      <c r="DD28">
        <f t="shared" si="55"/>
        <v>0</v>
      </c>
      <c r="DE28">
        <f t="shared" si="55"/>
        <v>0</v>
      </c>
      <c r="DF28">
        <f t="shared" si="55"/>
        <v>0</v>
      </c>
      <c r="DG28">
        <f t="shared" si="55"/>
        <v>0</v>
      </c>
      <c r="DH28">
        <f t="shared" si="55"/>
        <v>0</v>
      </c>
      <c r="DI28">
        <f t="shared" si="55"/>
        <v>0</v>
      </c>
      <c r="DJ28">
        <f t="shared" si="55"/>
        <v>0</v>
      </c>
      <c r="DK28">
        <f t="shared" si="55"/>
        <v>0</v>
      </c>
      <c r="DL28">
        <f t="shared" si="55"/>
        <v>0</v>
      </c>
      <c r="DM28">
        <f t="shared" si="55"/>
        <v>0</v>
      </c>
      <c r="DN28">
        <f t="shared" si="55"/>
        <v>0</v>
      </c>
    </row>
    <row r="29" spans="1:118" x14ac:dyDescent="0.2">
      <c r="A29">
        <v>25</v>
      </c>
      <c r="B29">
        <v>44</v>
      </c>
      <c r="C29">
        <f t="shared" si="2"/>
        <v>0.29530277169776192</v>
      </c>
      <c r="D29">
        <f t="shared" si="3"/>
        <v>8.7203726972380505E-2</v>
      </c>
      <c r="E29">
        <v>3.7099999999999998E-3</v>
      </c>
      <c r="F29">
        <f t="shared" si="0"/>
        <v>0.99629000000000001</v>
      </c>
      <c r="G29" s="34">
        <f t="shared" si="5"/>
        <v>0.95282466437873592</v>
      </c>
      <c r="H29" s="34"/>
      <c r="I29">
        <v>242.49593250679129</v>
      </c>
      <c r="J29">
        <v>44</v>
      </c>
      <c r="K29" s="38">
        <f t="shared" si="6"/>
        <v>242.49593250679132</v>
      </c>
      <c r="L29" s="22">
        <f t="shared" si="1"/>
        <v>290.92453573132127</v>
      </c>
      <c r="M29" s="23">
        <f t="shared" si="4"/>
        <v>439.52824054796787</v>
      </c>
      <c r="T29" s="60">
        <v>192.6</v>
      </c>
      <c r="U29">
        <v>3.7099999999999998E-3</v>
      </c>
      <c r="V29">
        <v>1.5151515151515152E-2</v>
      </c>
      <c r="W29">
        <v>3.9210560847676823E-2</v>
      </c>
      <c r="Z29">
        <f t="shared" si="10"/>
        <v>3.2000000000000002E-3</v>
      </c>
      <c r="AA29">
        <f t="shared" si="11"/>
        <v>0.99680000000000002</v>
      </c>
      <c r="AB29" s="34">
        <f t="shared" si="15"/>
        <v>0.95967408635159013</v>
      </c>
      <c r="AC29">
        <f t="shared" ref="AC29:CN29" si="56">AB30/AB$3</f>
        <v>0.95735888714830342</v>
      </c>
      <c r="AD29">
        <f t="shared" si="56"/>
        <v>0.95481919402264714</v>
      </c>
      <c r="AE29">
        <f t="shared" si="56"/>
        <v>0.95204716913260234</v>
      </c>
      <c r="AF29">
        <f t="shared" si="56"/>
        <v>0.94901623417826231</v>
      </c>
      <c r="AG29">
        <f t="shared" si="56"/>
        <v>0.94570975603911767</v>
      </c>
      <c r="AH29">
        <f t="shared" si="56"/>
        <v>0.94209273200172272</v>
      </c>
      <c r="AI29">
        <f t="shared" si="56"/>
        <v>0.93814034392177392</v>
      </c>
      <c r="AJ29">
        <f t="shared" si="56"/>
        <v>0.93382854505067447</v>
      </c>
      <c r="AK29">
        <f t="shared" si="56"/>
        <v>0.92912484933202089</v>
      </c>
      <c r="AL29">
        <f t="shared" si="56"/>
        <v>0.92399788604580313</v>
      </c>
      <c r="AM29">
        <f t="shared" si="56"/>
        <v>0.91839913274267226</v>
      </c>
      <c r="AN29">
        <f t="shared" si="56"/>
        <v>0.91230032741601252</v>
      </c>
      <c r="AO29">
        <f t="shared" si="56"/>
        <v>0.90566574825439783</v>
      </c>
      <c r="AP29">
        <f t="shared" si="56"/>
        <v>0.89844372147034912</v>
      </c>
      <c r="AQ29">
        <f t="shared" si="56"/>
        <v>0.8905943784674224</v>
      </c>
      <c r="AR29">
        <f t="shared" si="56"/>
        <v>0.88205422455612703</v>
      </c>
      <c r="AS29">
        <f t="shared" si="56"/>
        <v>0.8727904718519921</v>
      </c>
      <c r="AT29">
        <f t="shared" si="56"/>
        <v>0.86274794026310853</v>
      </c>
      <c r="AU29">
        <f t="shared" si="56"/>
        <v>0.85186813324354127</v>
      </c>
      <c r="AV29">
        <f t="shared" si="56"/>
        <v>0.84009879007520782</v>
      </c>
      <c r="AW29">
        <f t="shared" si="56"/>
        <v>0.827377934366201</v>
      </c>
      <c r="AX29">
        <f t="shared" si="56"/>
        <v>0.81365220064529575</v>
      </c>
      <c r="AY29">
        <f t="shared" si="56"/>
        <v>0.79918799820204245</v>
      </c>
      <c r="AZ29">
        <f t="shared" si="56"/>
        <v>0.78295659709863752</v>
      </c>
      <c r="BA29">
        <f t="shared" si="56"/>
        <v>0.76587959456428145</v>
      </c>
      <c r="BB29">
        <f t="shared" si="56"/>
        <v>0.74758614521218891</v>
      </c>
      <c r="BC29">
        <f t="shared" si="56"/>
        <v>0.72801971897085949</v>
      </c>
      <c r="BD29">
        <f t="shared" si="56"/>
        <v>0.70715938744088058</v>
      </c>
      <c r="BE29">
        <f t="shared" si="56"/>
        <v>0.6849700370389511</v>
      </c>
      <c r="BF29">
        <f t="shared" si="56"/>
        <v>0.66144300296767111</v>
      </c>
      <c r="BG29">
        <f t="shared" si="56"/>
        <v>0.63657102138577437</v>
      </c>
      <c r="BH29">
        <f t="shared" si="56"/>
        <v>0.61037344387368286</v>
      </c>
      <c r="BI29">
        <f t="shared" si="56"/>
        <v>0.58288595567087831</v>
      </c>
      <c r="BJ29">
        <f t="shared" si="56"/>
        <v>0.55417100194891666</v>
      </c>
      <c r="BK29">
        <f t="shared" si="56"/>
        <v>0.52431004935539594</v>
      </c>
      <c r="BL29">
        <f t="shared" si="56"/>
        <v>0.49340821897231479</v>
      </c>
      <c r="BM29">
        <f t="shared" si="56"/>
        <v>0.46161384537713834</v>
      </c>
      <c r="BN29">
        <f t="shared" si="56"/>
        <v>0.42910333096823694</v>
      </c>
      <c r="BO29">
        <f t="shared" si="56"/>
        <v>0.39608336035509273</v>
      </c>
      <c r="BP29">
        <f t="shared" si="56"/>
        <v>0.36279226870256859</v>
      </c>
      <c r="BQ29">
        <f t="shared" si="56"/>
        <v>0.32949413015317225</v>
      </c>
      <c r="BR29">
        <f t="shared" si="56"/>
        <v>0.29648416988604764</v>
      </c>
      <c r="BS29">
        <f t="shared" si="56"/>
        <v>0.26407834944273728</v>
      </c>
      <c r="BT29">
        <f t="shared" si="56"/>
        <v>0.23260255057318277</v>
      </c>
      <c r="BU29">
        <f t="shared" si="56"/>
        <v>0.20238613935979111</v>
      </c>
      <c r="BV29">
        <f t="shared" si="56"/>
        <v>0.17367611474925732</v>
      </c>
      <c r="BW29">
        <f t="shared" si="56"/>
        <v>0.14698038533633842</v>
      </c>
      <c r="BX29">
        <f t="shared" si="56"/>
        <v>0.12234741626621025</v>
      </c>
      <c r="BY29">
        <f t="shared" si="56"/>
        <v>0.10005529695310239</v>
      </c>
      <c r="BZ29">
        <f t="shared" si="56"/>
        <v>8.0253298783387841E-2</v>
      </c>
      <c r="CA29">
        <f t="shared" si="56"/>
        <v>6.3014303839826522E-2</v>
      </c>
      <c r="CB29">
        <f t="shared" si="56"/>
        <v>4.8337294705697115E-2</v>
      </c>
      <c r="CC29">
        <f t="shared" si="56"/>
        <v>3.6142493549651197E-2</v>
      </c>
      <c r="CD29">
        <f t="shared" si="56"/>
        <v>2.62766921589421E-2</v>
      </c>
      <c r="CE29">
        <f t="shared" si="56"/>
        <v>1.8525441702416365E-2</v>
      </c>
      <c r="CF29">
        <f t="shared" si="56"/>
        <v>1.2627564315932481E-2</v>
      </c>
      <c r="CG29">
        <f t="shared" si="56"/>
        <v>8.2949819963487673E-3</v>
      </c>
      <c r="CH29">
        <f t="shared" si="56"/>
        <v>5.2323662972108761E-3</v>
      </c>
      <c r="CI29">
        <f t="shared" si="56"/>
        <v>3.1570474494349346E-3</v>
      </c>
      <c r="CJ29">
        <f t="shared" si="56"/>
        <v>1.8142356672905579E-3</v>
      </c>
      <c r="CK29">
        <f t="shared" si="56"/>
        <v>9.8831163604353876E-4</v>
      </c>
      <c r="CL29">
        <f t="shared" si="56"/>
        <v>5.0773974094253107E-4</v>
      </c>
      <c r="CM29">
        <f t="shared" si="56"/>
        <v>2.4461491450156485E-4</v>
      </c>
      <c r="CN29">
        <f t="shared" si="56"/>
        <v>1.0982983540067691E-4</v>
      </c>
      <c r="CO29">
        <f t="shared" ref="CO29:DN29" si="57">CN30/CN$3</f>
        <v>4.564646474505909E-5</v>
      </c>
      <c r="CP29">
        <f t="shared" si="57"/>
        <v>1.7430487930122376E-5</v>
      </c>
      <c r="CQ29">
        <f t="shared" si="57"/>
        <v>6.0676055191521436E-6</v>
      </c>
      <c r="CR29">
        <f t="shared" si="57"/>
        <v>1.9070308258609838E-6</v>
      </c>
      <c r="CS29">
        <f t="shared" si="57"/>
        <v>0</v>
      </c>
      <c r="CT29">
        <f t="shared" si="57"/>
        <v>0</v>
      </c>
      <c r="CU29">
        <f t="shared" si="57"/>
        <v>0</v>
      </c>
      <c r="CV29">
        <f t="shared" si="57"/>
        <v>0</v>
      </c>
      <c r="CW29">
        <f t="shared" si="57"/>
        <v>0</v>
      </c>
      <c r="CX29">
        <f t="shared" si="57"/>
        <v>0</v>
      </c>
      <c r="CY29">
        <f t="shared" si="57"/>
        <v>0</v>
      </c>
      <c r="CZ29">
        <f t="shared" si="57"/>
        <v>0</v>
      </c>
      <c r="DA29">
        <f t="shared" si="57"/>
        <v>0</v>
      </c>
      <c r="DB29">
        <f t="shared" si="57"/>
        <v>0</v>
      </c>
      <c r="DC29">
        <f t="shared" si="57"/>
        <v>0</v>
      </c>
      <c r="DD29">
        <f t="shared" si="57"/>
        <v>0</v>
      </c>
      <c r="DE29">
        <f t="shared" si="57"/>
        <v>0</v>
      </c>
      <c r="DF29">
        <f t="shared" si="57"/>
        <v>0</v>
      </c>
      <c r="DG29">
        <f t="shared" si="57"/>
        <v>0</v>
      </c>
      <c r="DH29">
        <f t="shared" si="57"/>
        <v>0</v>
      </c>
      <c r="DI29">
        <f t="shared" si="57"/>
        <v>0</v>
      </c>
      <c r="DJ29">
        <f t="shared" si="57"/>
        <v>0</v>
      </c>
      <c r="DK29">
        <f t="shared" si="57"/>
        <v>0</v>
      </c>
      <c r="DL29">
        <f t="shared" si="57"/>
        <v>0</v>
      </c>
      <c r="DM29">
        <f t="shared" si="57"/>
        <v>0</v>
      </c>
      <c r="DN29">
        <f t="shared" si="57"/>
        <v>0</v>
      </c>
    </row>
    <row r="30" spans="1:118" x14ac:dyDescent="0.2">
      <c r="A30">
        <v>26</v>
      </c>
      <c r="B30">
        <v>45</v>
      </c>
      <c r="C30">
        <f t="shared" si="2"/>
        <v>0.28124073495024943</v>
      </c>
      <c r="D30">
        <f t="shared" si="3"/>
        <v>7.9096350995356446E-2</v>
      </c>
      <c r="E30">
        <v>4.0000000000000001E-3</v>
      </c>
      <c r="F30">
        <f t="shared" si="0"/>
        <v>0.996</v>
      </c>
      <c r="G30" s="34">
        <f t="shared" si="5"/>
        <v>0.94901336572122097</v>
      </c>
      <c r="H30" s="34"/>
      <c r="I30">
        <v>251.84507435799907</v>
      </c>
      <c r="J30">
        <v>45</v>
      </c>
      <c r="K30" s="38">
        <f t="shared" si="6"/>
        <v>251.84507435799907</v>
      </c>
      <c r="L30" s="22">
        <f t="shared" si="1"/>
        <v>294.78569732585487</v>
      </c>
      <c r="M30" s="23">
        <f t="shared" si="4"/>
        <v>439.52824054796787</v>
      </c>
      <c r="T30" s="58">
        <v>201.2</v>
      </c>
      <c r="U30">
        <v>4.0000000000000001E-3</v>
      </c>
      <c r="V30">
        <v>1.5384615384615385E-2</v>
      </c>
      <c r="W30">
        <v>3.9210560847676823E-2</v>
      </c>
      <c r="Z30">
        <f t="shared" si="10"/>
        <v>3.4399999999999999E-3</v>
      </c>
      <c r="AA30">
        <f t="shared" si="11"/>
        <v>0.99656</v>
      </c>
      <c r="AB30" s="34">
        <f t="shared" si="15"/>
        <v>0.95637280749454068</v>
      </c>
      <c r="AC30">
        <f t="shared" ref="AC30:CN30" si="58">AB31/AB$3</f>
        <v>0.95380708567698314</v>
      </c>
      <c r="AD30">
        <f t="shared" si="58"/>
        <v>0.95099991724655653</v>
      </c>
      <c r="AE30">
        <f t="shared" si="58"/>
        <v>0.94794384583364089</v>
      </c>
      <c r="AF30">
        <f t="shared" si="58"/>
        <v>0.94459381852699154</v>
      </c>
      <c r="AG30">
        <f t="shared" si="58"/>
        <v>0.94094337886868062</v>
      </c>
      <c r="AH30">
        <f t="shared" si="58"/>
        <v>0.93694890568499323</v>
      </c>
      <c r="AI30">
        <f t="shared" si="58"/>
        <v>0.932586553085757</v>
      </c>
      <c r="AJ30">
        <f t="shared" si="58"/>
        <v>0.92783336579144937</v>
      </c>
      <c r="AK30">
        <f t="shared" si="58"/>
        <v>0.92264884913217626</v>
      </c>
      <c r="AL30">
        <f t="shared" si="58"/>
        <v>0.91699398206957594</v>
      </c>
      <c r="AM30">
        <f t="shared" si="58"/>
        <v>0.91083152388887278</v>
      </c>
      <c r="AN30">
        <f t="shared" si="58"/>
        <v>0.90412611648236529</v>
      </c>
      <c r="AO30">
        <f t="shared" si="58"/>
        <v>0.89683550720891725</v>
      </c>
      <c r="AP30">
        <f t="shared" si="58"/>
        <v>0.88890224914833427</v>
      </c>
      <c r="AQ30">
        <f t="shared" si="58"/>
        <v>0.88028129556476931</v>
      </c>
      <c r="AR30">
        <f t="shared" si="58"/>
        <v>0.87092270024222884</v>
      </c>
      <c r="AS30">
        <f t="shared" si="58"/>
        <v>0.86078087495930866</v>
      </c>
      <c r="AT30">
        <f t="shared" si="58"/>
        <v>0.84979809367975945</v>
      </c>
      <c r="AU30">
        <f t="shared" si="58"/>
        <v>0.83791453322101228</v>
      </c>
      <c r="AV30">
        <f t="shared" si="58"/>
        <v>0.82507782370866301</v>
      </c>
      <c r="AW30">
        <f t="shared" si="58"/>
        <v>0.81122751708737284</v>
      </c>
      <c r="AX30">
        <f t="shared" si="58"/>
        <v>0.79663059660779589</v>
      </c>
      <c r="AY30">
        <f t="shared" si="58"/>
        <v>0.7802632264046182</v>
      </c>
      <c r="AZ30">
        <f t="shared" si="58"/>
        <v>0.76303818126844802</v>
      </c>
      <c r="BA30">
        <f t="shared" si="58"/>
        <v>0.74459580063134012</v>
      </c>
      <c r="BB30">
        <f t="shared" si="58"/>
        <v>0.7248819539820951</v>
      </c>
      <c r="BC30">
        <f t="shared" si="58"/>
        <v>0.7038640246954061</v>
      </c>
      <c r="BD30">
        <f t="shared" si="58"/>
        <v>0.6815177880522747</v>
      </c>
      <c r="BE30">
        <f t="shared" si="58"/>
        <v>0.65783152417146762</v>
      </c>
      <c r="BF30">
        <f t="shared" si="58"/>
        <v>0.63280252093917055</v>
      </c>
      <c r="BG30">
        <f t="shared" si="58"/>
        <v>0.60645484636401381</v>
      </c>
      <c r="BH30">
        <f t="shared" si="58"/>
        <v>0.57882324055985224</v>
      </c>
      <c r="BI30">
        <f t="shared" si="58"/>
        <v>0.54997038575414381</v>
      </c>
      <c r="BJ30">
        <f t="shared" si="58"/>
        <v>0.51998973454870745</v>
      </c>
      <c r="BK30">
        <f t="shared" si="58"/>
        <v>0.48898728133032288</v>
      </c>
      <c r="BL30">
        <f t="shared" si="58"/>
        <v>0.45711311038471125</v>
      </c>
      <c r="BM30">
        <f t="shared" si="58"/>
        <v>0.42454625359335429</v>
      </c>
      <c r="BN30">
        <f t="shared" si="58"/>
        <v>0.39149671504218075</v>
      </c>
      <c r="BO30">
        <f t="shared" si="58"/>
        <v>0.35821383027154219</v>
      </c>
      <c r="BP30">
        <f t="shared" si="58"/>
        <v>0.32496029092226458</v>
      </c>
      <c r="BQ30">
        <f t="shared" si="58"/>
        <v>0.29203394249605807</v>
      </c>
      <c r="BR30">
        <f t="shared" si="58"/>
        <v>0.25975274607886528</v>
      </c>
      <c r="BS30">
        <f t="shared" si="58"/>
        <v>0.22844361696893425</v>
      </c>
      <c r="BT30">
        <f t="shared" si="58"/>
        <v>0.198435561919488</v>
      </c>
      <c r="BU30">
        <f t="shared" si="58"/>
        <v>0.17004281042870284</v>
      </c>
      <c r="BV30">
        <f t="shared" si="58"/>
        <v>0.14349988981157391</v>
      </c>
      <c r="BW30">
        <f t="shared" si="58"/>
        <v>0.11923489799639786</v>
      </c>
      <c r="BX30">
        <f t="shared" si="58"/>
        <v>9.727476025077568E-2</v>
      </c>
      <c r="BY30">
        <f t="shared" si="58"/>
        <v>7.7816006099336352E-2</v>
      </c>
      <c r="BZ30">
        <f t="shared" si="58"/>
        <v>6.0923489238421072E-2</v>
      </c>
      <c r="CA30">
        <f t="shared" si="58"/>
        <v>4.658458439966854E-2</v>
      </c>
      <c r="CB30">
        <f t="shared" si="58"/>
        <v>3.4710527955214017E-2</v>
      </c>
      <c r="CC30">
        <f t="shared" si="58"/>
        <v>2.5138911388459906E-2</v>
      </c>
      <c r="CD30">
        <f t="shared" si="58"/>
        <v>1.7649003055475048E-2</v>
      </c>
      <c r="CE30">
        <f t="shared" si="58"/>
        <v>1.197484551644193E-2</v>
      </c>
      <c r="CF30">
        <f t="shared" si="58"/>
        <v>7.8265643630149526E-3</v>
      </c>
      <c r="CG30">
        <f t="shared" si="58"/>
        <v>4.9096339439989095E-3</v>
      </c>
      <c r="CH30">
        <f t="shared" si="58"/>
        <v>2.9443571627665028E-3</v>
      </c>
      <c r="CI30">
        <f t="shared" si="58"/>
        <v>1.6807804916046645E-3</v>
      </c>
      <c r="CJ30">
        <f t="shared" si="58"/>
        <v>9.0895021166924263E-4</v>
      </c>
      <c r="CK30">
        <f t="shared" si="58"/>
        <v>4.6324143004632768E-4</v>
      </c>
      <c r="CL30">
        <f t="shared" si="58"/>
        <v>2.2122728252607025E-4</v>
      </c>
      <c r="CM30">
        <f t="shared" si="58"/>
        <v>9.8376780165094319E-5</v>
      </c>
      <c r="CN30">
        <f t="shared" si="58"/>
        <v>4.0456918168193325E-5</v>
      </c>
      <c r="CO30">
        <f t="shared" ref="CO30:DN30" si="59">CN31/CN$3</f>
        <v>1.5271024780459514E-5</v>
      </c>
      <c r="CP30">
        <f t="shared" si="59"/>
        <v>5.2488428303977533E-6</v>
      </c>
      <c r="CQ30">
        <f t="shared" si="59"/>
        <v>1.6269070678502639E-6</v>
      </c>
      <c r="CR30">
        <f t="shared" si="59"/>
        <v>0</v>
      </c>
      <c r="CS30">
        <f t="shared" si="59"/>
        <v>0</v>
      </c>
      <c r="CT30">
        <f t="shared" si="59"/>
        <v>0</v>
      </c>
      <c r="CU30">
        <f t="shared" si="59"/>
        <v>0</v>
      </c>
      <c r="CV30">
        <f t="shared" si="59"/>
        <v>0</v>
      </c>
      <c r="CW30">
        <f t="shared" si="59"/>
        <v>0</v>
      </c>
      <c r="CX30">
        <f t="shared" si="59"/>
        <v>0</v>
      </c>
      <c r="CY30">
        <f t="shared" si="59"/>
        <v>0</v>
      </c>
      <c r="CZ30">
        <f t="shared" si="59"/>
        <v>0</v>
      </c>
      <c r="DA30">
        <f t="shared" si="59"/>
        <v>0</v>
      </c>
      <c r="DB30">
        <f t="shared" si="59"/>
        <v>0</v>
      </c>
      <c r="DC30">
        <f t="shared" si="59"/>
        <v>0</v>
      </c>
      <c r="DD30">
        <f t="shared" si="59"/>
        <v>0</v>
      </c>
      <c r="DE30">
        <f t="shared" si="59"/>
        <v>0</v>
      </c>
      <c r="DF30">
        <f t="shared" si="59"/>
        <v>0</v>
      </c>
      <c r="DG30">
        <f t="shared" si="59"/>
        <v>0</v>
      </c>
      <c r="DH30">
        <f t="shared" si="59"/>
        <v>0</v>
      </c>
      <c r="DI30">
        <f t="shared" si="59"/>
        <v>0</v>
      </c>
      <c r="DJ30">
        <f t="shared" si="59"/>
        <v>0</v>
      </c>
      <c r="DK30">
        <f t="shared" si="59"/>
        <v>0</v>
      </c>
      <c r="DL30">
        <f t="shared" si="59"/>
        <v>0</v>
      </c>
      <c r="DM30">
        <f t="shared" si="59"/>
        <v>0</v>
      </c>
      <c r="DN30">
        <f t="shared" si="59"/>
        <v>0</v>
      </c>
    </row>
    <row r="31" spans="1:118" x14ac:dyDescent="0.2">
      <c r="A31">
        <v>27</v>
      </c>
      <c r="B31">
        <v>46</v>
      </c>
      <c r="C31">
        <f t="shared" si="2"/>
        <v>0.26784831900023753</v>
      </c>
      <c r="D31">
        <f t="shared" si="3"/>
        <v>7.1742721991253006E-2</v>
      </c>
      <c r="E31">
        <v>4.3099999999999996E-3</v>
      </c>
      <c r="F31">
        <f t="shared" si="0"/>
        <v>0.99568999999999996</v>
      </c>
      <c r="G31" s="34">
        <f t="shared" si="5"/>
        <v>0.94492311811496243</v>
      </c>
      <c r="H31" s="34"/>
      <c r="I31">
        <v>261.48326112038058</v>
      </c>
      <c r="J31">
        <v>46</v>
      </c>
      <c r="K31" s="38">
        <f t="shared" si="6"/>
        <v>261.48326112038058</v>
      </c>
      <c r="L31" s="22">
        <f t="shared" si="1"/>
        <v>298.73631003889989</v>
      </c>
      <c r="M31" s="23">
        <f t="shared" si="4"/>
        <v>439.52824054796787</v>
      </c>
      <c r="T31" s="59">
        <v>210.11</v>
      </c>
      <c r="U31">
        <v>4.3099999999999996E-3</v>
      </c>
      <c r="V31">
        <v>1.5625E-2</v>
      </c>
      <c r="W31">
        <v>3.9210560847676823E-2</v>
      </c>
      <c r="Z31">
        <f t="shared" si="10"/>
        <v>3.7099999999999998E-3</v>
      </c>
      <c r="AA31">
        <f t="shared" si="11"/>
        <v>0.99629000000000001</v>
      </c>
      <c r="AB31" s="34">
        <f t="shared" si="15"/>
        <v>0.95282466437873592</v>
      </c>
      <c r="AC31">
        <f t="shared" ref="AC31:CN31" si="60">AB32/AB$3</f>
        <v>0.94999185733427527</v>
      </c>
      <c r="AD31">
        <f t="shared" si="60"/>
        <v>0.94690110760322388</v>
      </c>
      <c r="AE31">
        <f t="shared" si="60"/>
        <v>0.94352642751205607</v>
      </c>
      <c r="AF31">
        <f t="shared" si="60"/>
        <v>0.93983306568161562</v>
      </c>
      <c r="AG31">
        <f t="shared" si="60"/>
        <v>0.93580582802005752</v>
      </c>
      <c r="AH31">
        <f t="shared" si="60"/>
        <v>0.9314021681633381</v>
      </c>
      <c r="AI31">
        <f t="shared" si="60"/>
        <v>0.92659934741494665</v>
      </c>
      <c r="AJ31">
        <f t="shared" si="60"/>
        <v>0.92136636723188259</v>
      </c>
      <c r="AK31">
        <f t="shared" si="60"/>
        <v>0.91565517085575432</v>
      </c>
      <c r="AL31">
        <f t="shared" si="60"/>
        <v>0.90943795165732277</v>
      </c>
      <c r="AM31">
        <f t="shared" si="60"/>
        <v>0.90267047343482865</v>
      </c>
      <c r="AN31">
        <f t="shared" si="60"/>
        <v>0.89531088684666205</v>
      </c>
      <c r="AO31">
        <f t="shared" si="60"/>
        <v>0.88731111412235875</v>
      </c>
      <c r="AP31">
        <f t="shared" si="60"/>
        <v>0.87860876110319619</v>
      </c>
      <c r="AQ31">
        <f t="shared" si="60"/>
        <v>0.86917214561474199</v>
      </c>
      <c r="AR31">
        <f t="shared" si="60"/>
        <v>0.8589388038868957</v>
      </c>
      <c r="AS31">
        <f t="shared" si="60"/>
        <v>0.84786055402616967</v>
      </c>
      <c r="AT31">
        <f t="shared" si="60"/>
        <v>0.8358784009052852</v>
      </c>
      <c r="AU31">
        <f t="shared" si="60"/>
        <v>0.82293262136702039</v>
      </c>
      <c r="AV31">
        <f t="shared" si="60"/>
        <v>0.80897230458986991</v>
      </c>
      <c r="AW31">
        <f t="shared" si="60"/>
        <v>0.79425663742990471</v>
      </c>
      <c r="AX31">
        <f t="shared" si="60"/>
        <v>0.77776638408012344</v>
      </c>
      <c r="AY31">
        <f t="shared" si="60"/>
        <v>0.76041332992488453</v>
      </c>
      <c r="AZ31">
        <f t="shared" si="60"/>
        <v>0.74183335021099783</v>
      </c>
      <c r="BA31">
        <f t="shared" si="60"/>
        <v>0.7219824261661667</v>
      </c>
      <c r="BB31">
        <f t="shared" si="60"/>
        <v>0.70083037074896892</v>
      </c>
      <c r="BC31">
        <f t="shared" si="60"/>
        <v>0.67834191515995113</v>
      </c>
      <c r="BD31">
        <f t="shared" si="60"/>
        <v>0.65451605328964335</v>
      </c>
      <c r="BE31">
        <f t="shared" si="60"/>
        <v>0.62934741917484271</v>
      </c>
      <c r="BF31">
        <f t="shared" si="60"/>
        <v>0.60286463367353882</v>
      </c>
      <c r="BG31">
        <f t="shared" si="60"/>
        <v>0.57510719535545796</v>
      </c>
      <c r="BH31">
        <f t="shared" si="60"/>
        <v>0.54613709216543738</v>
      </c>
      <c r="BI31">
        <f t="shared" si="60"/>
        <v>0.51604821236082821</v>
      </c>
      <c r="BJ31">
        <f t="shared" si="60"/>
        <v>0.48495802613216099</v>
      </c>
      <c r="BK31">
        <f t="shared" si="60"/>
        <v>0.45301737691566424</v>
      </c>
      <c r="BL31">
        <f t="shared" si="60"/>
        <v>0.42040692762081905</v>
      </c>
      <c r="BM31">
        <f t="shared" si="60"/>
        <v>0.38733901992843278</v>
      </c>
      <c r="BN31">
        <f t="shared" si="60"/>
        <v>0.35406571411699772</v>
      </c>
      <c r="BO31">
        <f t="shared" si="60"/>
        <v>0.32085929205082564</v>
      </c>
      <c r="BP31">
        <f t="shared" si="60"/>
        <v>0.28801555544731233</v>
      </c>
      <c r="BQ31">
        <f t="shared" si="60"/>
        <v>0.25585385736022154</v>
      </c>
      <c r="BR31">
        <f t="shared" si="60"/>
        <v>0.22470171052298313</v>
      </c>
      <c r="BS31">
        <f t="shared" si="60"/>
        <v>0.19488753407236756</v>
      </c>
      <c r="BT31">
        <f t="shared" si="60"/>
        <v>0.16672357476913457</v>
      </c>
      <c r="BU31">
        <f t="shared" si="60"/>
        <v>0.14049787211671577</v>
      </c>
      <c r="BV31">
        <f t="shared" si="60"/>
        <v>0.11641141561184315</v>
      </c>
      <c r="BW31">
        <f t="shared" si="60"/>
        <v>9.4800090349995939E-2</v>
      </c>
      <c r="BX31">
        <f t="shared" si="60"/>
        <v>7.5653499289835793E-2</v>
      </c>
      <c r="BY31">
        <f t="shared" si="60"/>
        <v>5.9073242870250224E-2</v>
      </c>
      <c r="BZ31">
        <f t="shared" si="60"/>
        <v>4.5038907889287536E-2</v>
      </c>
      <c r="CA31">
        <f t="shared" si="60"/>
        <v>3.345192421155796E-2</v>
      </c>
      <c r="CB31">
        <f t="shared" si="60"/>
        <v>2.4142907719249124E-2</v>
      </c>
      <c r="CC31">
        <f t="shared" si="60"/>
        <v>1.6884801223172978E-2</v>
      </c>
      <c r="CD31">
        <f t="shared" si="60"/>
        <v>1.1408315575059063E-2</v>
      </c>
      <c r="CE31">
        <f t="shared" si="60"/>
        <v>7.4220092510907092E-3</v>
      </c>
      <c r="CF31">
        <f t="shared" si="60"/>
        <v>4.6323869151812906E-3</v>
      </c>
      <c r="CG31">
        <f t="shared" si="60"/>
        <v>2.7627492129670651E-3</v>
      </c>
      <c r="CH31">
        <f t="shared" si="60"/>
        <v>1.5675463098852583E-3</v>
      </c>
      <c r="CI31">
        <f t="shared" si="60"/>
        <v>8.4208783409885318E-4</v>
      </c>
      <c r="CJ31">
        <f t="shared" si="60"/>
        <v>4.2604314321360756E-4</v>
      </c>
      <c r="CK31">
        <f t="shared" si="60"/>
        <v>2.0183892348548546E-4</v>
      </c>
      <c r="CL31">
        <f t="shared" si="60"/>
        <v>8.8970976213509657E-5</v>
      </c>
      <c r="CM31">
        <f t="shared" si="60"/>
        <v>3.6238070741614126E-5</v>
      </c>
      <c r="CN31">
        <f t="shared" si="60"/>
        <v>1.3534861973169074E-5</v>
      </c>
      <c r="CO31">
        <f t="shared" ref="CO31:DN31" si="61">CN32/CN$3</f>
        <v>4.5985636921397752E-6</v>
      </c>
      <c r="CP31">
        <f t="shared" si="61"/>
        <v>1.4073722281145493E-6</v>
      </c>
      <c r="CQ31">
        <f t="shared" si="61"/>
        <v>0</v>
      </c>
      <c r="CR31">
        <f t="shared" si="61"/>
        <v>0</v>
      </c>
      <c r="CS31">
        <f t="shared" si="61"/>
        <v>0</v>
      </c>
      <c r="CT31">
        <f t="shared" si="61"/>
        <v>0</v>
      </c>
      <c r="CU31">
        <f t="shared" si="61"/>
        <v>0</v>
      </c>
      <c r="CV31">
        <f t="shared" si="61"/>
        <v>0</v>
      </c>
      <c r="CW31">
        <f t="shared" si="61"/>
        <v>0</v>
      </c>
      <c r="CX31">
        <f t="shared" si="61"/>
        <v>0</v>
      </c>
      <c r="CY31">
        <f t="shared" si="61"/>
        <v>0</v>
      </c>
      <c r="CZ31">
        <f t="shared" si="61"/>
        <v>0</v>
      </c>
      <c r="DA31">
        <f t="shared" si="61"/>
        <v>0</v>
      </c>
      <c r="DB31">
        <f t="shared" si="61"/>
        <v>0</v>
      </c>
      <c r="DC31">
        <f t="shared" si="61"/>
        <v>0</v>
      </c>
      <c r="DD31">
        <f t="shared" si="61"/>
        <v>0</v>
      </c>
      <c r="DE31">
        <f t="shared" si="61"/>
        <v>0</v>
      </c>
      <c r="DF31">
        <f t="shared" si="61"/>
        <v>0</v>
      </c>
      <c r="DG31">
        <f t="shared" si="61"/>
        <v>0</v>
      </c>
      <c r="DH31">
        <f t="shared" si="61"/>
        <v>0</v>
      </c>
      <c r="DI31">
        <f t="shared" si="61"/>
        <v>0</v>
      </c>
      <c r="DJ31">
        <f t="shared" si="61"/>
        <v>0</v>
      </c>
      <c r="DK31">
        <f t="shared" si="61"/>
        <v>0</v>
      </c>
      <c r="DL31">
        <f t="shared" si="61"/>
        <v>0</v>
      </c>
      <c r="DM31">
        <f t="shared" si="61"/>
        <v>0</v>
      </c>
      <c r="DN31">
        <f t="shared" si="61"/>
        <v>0</v>
      </c>
    </row>
    <row r="32" spans="1:118" x14ac:dyDescent="0.2">
      <c r="A32">
        <v>28</v>
      </c>
      <c r="B32">
        <v>47</v>
      </c>
      <c r="C32">
        <f t="shared" si="2"/>
        <v>0.25509363714308336</v>
      </c>
      <c r="D32">
        <f t="shared" si="3"/>
        <v>6.5072763710887077E-2</v>
      </c>
      <c r="E32">
        <v>4.6600000000000001E-3</v>
      </c>
      <c r="F32">
        <f t="shared" si="0"/>
        <v>0.99534</v>
      </c>
      <c r="G32" s="34">
        <f t="shared" si="5"/>
        <v>0.94051977638454676</v>
      </c>
      <c r="H32" s="34"/>
      <c r="I32">
        <v>271.4172324482517</v>
      </c>
      <c r="J32">
        <v>47</v>
      </c>
      <c r="K32" s="38">
        <f t="shared" si="6"/>
        <v>271.41723244825164</v>
      </c>
      <c r="L32" s="22">
        <f t="shared" si="1"/>
        <v>302.77904816847735</v>
      </c>
      <c r="M32" s="23">
        <f t="shared" si="4"/>
        <v>439.52824054796787</v>
      </c>
      <c r="T32" s="60">
        <v>219.35</v>
      </c>
      <c r="U32">
        <v>4.6600000000000001E-3</v>
      </c>
      <c r="V32">
        <v>1.5873015873015872E-2</v>
      </c>
      <c r="W32">
        <v>3.9210560847676823E-2</v>
      </c>
      <c r="Z32">
        <f t="shared" si="10"/>
        <v>4.0000000000000001E-3</v>
      </c>
      <c r="AA32">
        <f t="shared" si="11"/>
        <v>0.996</v>
      </c>
      <c r="AB32" s="34">
        <f t="shared" si="15"/>
        <v>0.94901336572122097</v>
      </c>
      <c r="AC32">
        <f t="shared" ref="AC32:CN32" si="62">AB33/AB$3</f>
        <v>0.94589739242916449</v>
      </c>
      <c r="AD32">
        <f t="shared" si="62"/>
        <v>0.94248854844179286</v>
      </c>
      <c r="AE32">
        <f t="shared" si="62"/>
        <v>0.93877105431739538</v>
      </c>
      <c r="AF32">
        <f t="shared" si="62"/>
        <v>0.93470157714299384</v>
      </c>
      <c r="AG32">
        <f t="shared" si="62"/>
        <v>0.93026585751817881</v>
      </c>
      <c r="AH32">
        <f t="shared" si="62"/>
        <v>0.92542256624372965</v>
      </c>
      <c r="AI32">
        <f t="shared" si="62"/>
        <v>0.92014094996346418</v>
      </c>
      <c r="AJ32">
        <f t="shared" si="62"/>
        <v>0.91438241016826483</v>
      </c>
      <c r="AK32">
        <f t="shared" si="62"/>
        <v>0.90811017224790302</v>
      </c>
      <c r="AL32">
        <f t="shared" si="62"/>
        <v>0.90128938761047328</v>
      </c>
      <c r="AM32">
        <f t="shared" si="62"/>
        <v>0.89386943631883897</v>
      </c>
      <c r="AN32">
        <f t="shared" si="62"/>
        <v>0.88580268522835071</v>
      </c>
      <c r="AO32">
        <f t="shared" si="62"/>
        <v>0.87703605142082153</v>
      </c>
      <c r="AP32">
        <f t="shared" si="62"/>
        <v>0.867520718538074</v>
      </c>
      <c r="AQ32">
        <f t="shared" si="62"/>
        <v>0.85721233689108312</v>
      </c>
      <c r="AR32">
        <f t="shared" si="62"/>
        <v>0.8460461324405536</v>
      </c>
      <c r="AS32">
        <f t="shared" si="62"/>
        <v>0.83397259815122116</v>
      </c>
      <c r="AT32">
        <f t="shared" si="62"/>
        <v>0.82093289509709855</v>
      </c>
      <c r="AU32">
        <f t="shared" si="62"/>
        <v>0.80686897659793622</v>
      </c>
      <c r="AV32">
        <f t="shared" si="62"/>
        <v>0.7920486039778496</v>
      </c>
      <c r="AW32">
        <f t="shared" si="62"/>
        <v>0.7754486402555647</v>
      </c>
      <c r="AX32">
        <f t="shared" si="62"/>
        <v>0.75798000726912496</v>
      </c>
      <c r="AY32">
        <f t="shared" si="62"/>
        <v>0.73928144348627201</v>
      </c>
      <c r="AZ32">
        <f t="shared" si="62"/>
        <v>0.71930387136509022</v>
      </c>
      <c r="BA32">
        <f t="shared" si="62"/>
        <v>0.69802704926597303</v>
      </c>
      <c r="BB32">
        <f t="shared" si="62"/>
        <v>0.67541826150561168</v>
      </c>
      <c r="BC32">
        <f t="shared" si="62"/>
        <v>0.65146600848131364</v>
      </c>
      <c r="BD32">
        <f t="shared" si="62"/>
        <v>0.62617550818220147</v>
      </c>
      <c r="BE32">
        <f t="shared" si="62"/>
        <v>0.59957299277368126</v>
      </c>
      <c r="BF32">
        <f t="shared" si="62"/>
        <v>0.57170256075895365</v>
      </c>
      <c r="BG32">
        <f t="shared" si="62"/>
        <v>0.54263089203373527</v>
      </c>
      <c r="BH32">
        <f t="shared" si="62"/>
        <v>0.51245135632067318</v>
      </c>
      <c r="BI32">
        <f t="shared" si="62"/>
        <v>0.48128204429407917</v>
      </c>
      <c r="BJ32">
        <f t="shared" si="62"/>
        <v>0.44928451372987915</v>
      </c>
      <c r="BK32">
        <f t="shared" si="62"/>
        <v>0.41664008154933652</v>
      </c>
      <c r="BL32">
        <f t="shared" si="62"/>
        <v>0.38356246448413056</v>
      </c>
      <c r="BM32">
        <f t="shared" si="62"/>
        <v>0.3503055362330752</v>
      </c>
      <c r="BN32">
        <f t="shared" si="62"/>
        <v>0.31714374144887708</v>
      </c>
      <c r="BO32">
        <f t="shared" si="62"/>
        <v>0.28438079913756725</v>
      </c>
      <c r="BP32">
        <f t="shared" si="62"/>
        <v>0.25233330828294487</v>
      </c>
      <c r="BQ32">
        <f t="shared" si="62"/>
        <v>0.22132893784803315</v>
      </c>
      <c r="BR32">
        <f t="shared" si="62"/>
        <v>0.19169527626426219</v>
      </c>
      <c r="BS32">
        <f t="shared" si="62"/>
        <v>0.16374255725226244</v>
      </c>
      <c r="BT32">
        <f t="shared" si="62"/>
        <v>0.13775535365299749</v>
      </c>
      <c r="BU32">
        <f t="shared" si="62"/>
        <v>0.11397608879724339</v>
      </c>
      <c r="BV32">
        <f t="shared" si="62"/>
        <v>9.2555224210508033E-2</v>
      </c>
      <c r="BW32">
        <f t="shared" si="62"/>
        <v>7.3728874267902367E-2</v>
      </c>
      <c r="BX32">
        <f t="shared" si="62"/>
        <v>5.7431597450885968E-2</v>
      </c>
      <c r="BY32">
        <f t="shared" si="62"/>
        <v>4.3671076256689874E-2</v>
      </c>
      <c r="BZ32">
        <f t="shared" si="62"/>
        <v>3.2341989366218467E-2</v>
      </c>
      <c r="CA32">
        <f t="shared" si="62"/>
        <v>2.3267485885349153E-2</v>
      </c>
      <c r="CB32">
        <f t="shared" si="62"/>
        <v>1.6215825398710866E-2</v>
      </c>
      <c r="CC32">
        <f t="shared" si="62"/>
        <v>1.0914335510659005E-2</v>
      </c>
      <c r="CD32">
        <f t="shared" si="62"/>
        <v>7.0708739934216081E-3</v>
      </c>
      <c r="CE32">
        <f t="shared" si="62"/>
        <v>4.3929388355355694E-3</v>
      </c>
      <c r="CF32">
        <f t="shared" si="62"/>
        <v>2.6067367649108149E-3</v>
      </c>
      <c r="CG32">
        <f t="shared" si="62"/>
        <v>1.4708600534915357E-3</v>
      </c>
      <c r="CH32">
        <f t="shared" si="62"/>
        <v>7.8535637671561342E-4</v>
      </c>
      <c r="CI32">
        <f t="shared" si="62"/>
        <v>3.947034095988146E-4</v>
      </c>
      <c r="CJ32">
        <f t="shared" si="62"/>
        <v>1.8563125792960098E-4</v>
      </c>
      <c r="CK32">
        <f t="shared" si="62"/>
        <v>8.1173559858157681E-5</v>
      </c>
      <c r="CL32">
        <f t="shared" si="62"/>
        <v>3.2773348798008399E-5</v>
      </c>
      <c r="CM32">
        <f t="shared" si="62"/>
        <v>1.2123446566607002E-5</v>
      </c>
      <c r="CN32">
        <f t="shared" si="62"/>
        <v>4.0757529859804042E-6</v>
      </c>
      <c r="CO32">
        <f t="shared" ref="CO32:DN32" si="63">CN33/CN$3</f>
        <v>1.2330128827734377E-6</v>
      </c>
      <c r="CP32">
        <f t="shared" si="63"/>
        <v>0</v>
      </c>
      <c r="CQ32">
        <f t="shared" si="63"/>
        <v>0</v>
      </c>
      <c r="CR32">
        <f t="shared" si="63"/>
        <v>0</v>
      </c>
      <c r="CS32">
        <f t="shared" si="63"/>
        <v>0</v>
      </c>
      <c r="CT32">
        <f t="shared" si="63"/>
        <v>0</v>
      </c>
      <c r="CU32">
        <f t="shared" si="63"/>
        <v>0</v>
      </c>
      <c r="CV32">
        <f t="shared" si="63"/>
        <v>0</v>
      </c>
      <c r="CW32">
        <f t="shared" si="63"/>
        <v>0</v>
      </c>
      <c r="CX32">
        <f t="shared" si="63"/>
        <v>0</v>
      </c>
      <c r="CY32">
        <f t="shared" si="63"/>
        <v>0</v>
      </c>
      <c r="CZ32">
        <f t="shared" si="63"/>
        <v>0</v>
      </c>
      <c r="DA32">
        <f t="shared" si="63"/>
        <v>0</v>
      </c>
      <c r="DB32">
        <f t="shared" si="63"/>
        <v>0</v>
      </c>
      <c r="DC32">
        <f t="shared" si="63"/>
        <v>0</v>
      </c>
      <c r="DD32">
        <f t="shared" si="63"/>
        <v>0</v>
      </c>
      <c r="DE32">
        <f t="shared" si="63"/>
        <v>0</v>
      </c>
      <c r="DF32">
        <f t="shared" si="63"/>
        <v>0</v>
      </c>
      <c r="DG32">
        <f t="shared" si="63"/>
        <v>0</v>
      </c>
      <c r="DH32">
        <f t="shared" si="63"/>
        <v>0</v>
      </c>
      <c r="DI32">
        <f t="shared" si="63"/>
        <v>0</v>
      </c>
      <c r="DJ32">
        <f t="shared" si="63"/>
        <v>0</v>
      </c>
      <c r="DK32">
        <f t="shared" si="63"/>
        <v>0</v>
      </c>
      <c r="DL32">
        <f t="shared" si="63"/>
        <v>0</v>
      </c>
      <c r="DM32">
        <f t="shared" si="63"/>
        <v>0</v>
      </c>
      <c r="DN32">
        <f t="shared" si="63"/>
        <v>0</v>
      </c>
    </row>
    <row r="33" spans="1:118" x14ac:dyDescent="0.2">
      <c r="A33">
        <v>29</v>
      </c>
      <c r="B33">
        <v>48</v>
      </c>
      <c r="C33">
        <f t="shared" si="2"/>
        <v>0.2429463210886508</v>
      </c>
      <c r="D33">
        <f t="shared" si="3"/>
        <v>5.9022914930509811E-2</v>
      </c>
      <c r="E33">
        <v>5.0400000000000002E-3</v>
      </c>
      <c r="F33">
        <f t="shared" si="0"/>
        <v>0.99495999999999996</v>
      </c>
      <c r="G33" s="34">
        <f t="shared" si="5"/>
        <v>0.93577955671156865</v>
      </c>
      <c r="H33" s="34"/>
      <c r="I33">
        <v>281.6405389823218</v>
      </c>
      <c r="J33">
        <v>48</v>
      </c>
      <c r="K33" s="38">
        <f t="shared" si="6"/>
        <v>281.64053898232191</v>
      </c>
      <c r="L33" s="22">
        <f t="shared" si="1"/>
        <v>306.91667800556081</v>
      </c>
      <c r="M33" s="23">
        <f t="shared" si="4"/>
        <v>439.52824054796787</v>
      </c>
      <c r="T33" s="60">
        <v>228.92</v>
      </c>
      <c r="U33">
        <v>5.0400000000000002E-3</v>
      </c>
      <c r="V33">
        <v>1.6129032258064516E-2</v>
      </c>
      <c r="W33">
        <v>3.9210560847676823E-2</v>
      </c>
      <c r="Z33">
        <f t="shared" si="10"/>
        <v>4.3099999999999996E-3</v>
      </c>
      <c r="AA33">
        <f t="shared" si="11"/>
        <v>0.99568999999999996</v>
      </c>
      <c r="AB33" s="34">
        <f t="shared" si="15"/>
        <v>0.94492311811496243</v>
      </c>
      <c r="AC33">
        <f t="shared" ref="AC33:CN33" si="64">AB34/AB$3</f>
        <v>0.94148951058044461</v>
      </c>
      <c r="AD33">
        <f t="shared" si="64"/>
        <v>0.93773840615764625</v>
      </c>
      <c r="AE33">
        <f t="shared" si="64"/>
        <v>0.93364536436082235</v>
      </c>
      <c r="AF33">
        <f t="shared" si="64"/>
        <v>0.92916814380630741</v>
      </c>
      <c r="AG33">
        <f t="shared" si="64"/>
        <v>0.9242935507129123</v>
      </c>
      <c r="AH33">
        <f t="shared" si="64"/>
        <v>0.91897237095701056</v>
      </c>
      <c r="AI33">
        <f t="shared" si="64"/>
        <v>0.91316628156274093</v>
      </c>
      <c r="AJ33">
        <f t="shared" si="64"/>
        <v>0.90684789910847841</v>
      </c>
      <c r="AK33">
        <f t="shared" si="64"/>
        <v>0.89997350510456198</v>
      </c>
      <c r="AL33">
        <f t="shared" si="64"/>
        <v>0.8925018160812711</v>
      </c>
      <c r="AM33">
        <f t="shared" si="64"/>
        <v>0.88437654290513301</v>
      </c>
      <c r="AN33">
        <f t="shared" si="64"/>
        <v>0.87554509013340609</v>
      </c>
      <c r="AO33">
        <f t="shared" si="64"/>
        <v>0.86596785645189089</v>
      </c>
      <c r="AP33">
        <f t="shared" si="64"/>
        <v>0.85558363345099009</v>
      </c>
      <c r="AQ33">
        <f t="shared" si="64"/>
        <v>0.84434557971434809</v>
      </c>
      <c r="AR33">
        <f t="shared" si="64"/>
        <v>0.83218789679117755</v>
      </c>
      <c r="AS33">
        <f t="shared" si="64"/>
        <v>0.81906116809627716</v>
      </c>
      <c r="AT33">
        <f t="shared" si="64"/>
        <v>0.80490828498480316</v>
      </c>
      <c r="AU33">
        <f t="shared" si="64"/>
        <v>0.78998927760750715</v>
      </c>
      <c r="AV33">
        <f t="shared" si="64"/>
        <v>0.77329289303565418</v>
      </c>
      <c r="AW33">
        <f t="shared" si="64"/>
        <v>0.75572122684746301</v>
      </c>
      <c r="AX33">
        <f t="shared" si="64"/>
        <v>0.73691574286711592</v>
      </c>
      <c r="AY33">
        <f t="shared" si="64"/>
        <v>0.71682946604759434</v>
      </c>
      <c r="AZ33">
        <f t="shared" si="64"/>
        <v>0.6954373689131963</v>
      </c>
      <c r="BA33">
        <f t="shared" si="64"/>
        <v>0.67271658845958926</v>
      </c>
      <c r="BB33">
        <f t="shared" si="64"/>
        <v>0.6486581899847591</v>
      </c>
      <c r="BC33">
        <f t="shared" si="64"/>
        <v>0.62325753031407238</v>
      </c>
      <c r="BD33">
        <f t="shared" si="64"/>
        <v>0.59655114489010186</v>
      </c>
      <c r="BE33">
        <f t="shared" si="64"/>
        <v>0.56858106477720971</v>
      </c>
      <c r="BF33">
        <f t="shared" si="64"/>
        <v>0.53941851715289557</v>
      </c>
      <c r="BG33">
        <f t="shared" si="64"/>
        <v>0.5091614186130945</v>
      </c>
      <c r="BH33">
        <f t="shared" si="64"/>
        <v>0.47792750844534942</v>
      </c>
      <c r="BI33">
        <f t="shared" si="64"/>
        <v>0.44587893711580667</v>
      </c>
      <c r="BJ33">
        <f t="shared" si="64"/>
        <v>0.41320696727737</v>
      </c>
      <c r="BK33">
        <f t="shared" si="64"/>
        <v>0.38012574480235278</v>
      </c>
      <c r="BL33">
        <f t="shared" si="64"/>
        <v>0.34689005725480271</v>
      </c>
      <c r="BM33">
        <f t="shared" si="64"/>
        <v>0.31377567491468999</v>
      </c>
      <c r="BN33">
        <f t="shared" si="64"/>
        <v>0.28108766948355424</v>
      </c>
      <c r="BO33">
        <f t="shared" si="64"/>
        <v>0.24914886193241409</v>
      </c>
      <c r="BP33">
        <f t="shared" si="64"/>
        <v>0.2182834516632442</v>
      </c>
      <c r="BQ33">
        <f t="shared" si="64"/>
        <v>0.18881793016753562</v>
      </c>
      <c r="BR33">
        <f t="shared" si="64"/>
        <v>0.1610604541644704</v>
      </c>
      <c r="BS33">
        <f t="shared" si="64"/>
        <v>0.1352922879296819</v>
      </c>
      <c r="BT33">
        <f t="shared" si="64"/>
        <v>0.1117512755439212</v>
      </c>
      <c r="BU33">
        <f t="shared" si="64"/>
        <v>9.0618968920024204E-2</v>
      </c>
      <c r="BV33">
        <f t="shared" si="64"/>
        <v>7.1982974525238441E-2</v>
      </c>
      <c r="BW33">
        <f t="shared" si="64"/>
        <v>5.5970537611735427E-2</v>
      </c>
      <c r="BX33">
        <f t="shared" si="64"/>
        <v>4.245745704751646E-2</v>
      </c>
      <c r="BY33">
        <f t="shared" si="64"/>
        <v>3.1359763149166414E-2</v>
      </c>
      <c r="BZ33">
        <f t="shared" si="64"/>
        <v>2.2495470703673269E-2</v>
      </c>
      <c r="CA33">
        <f t="shared" si="64"/>
        <v>1.562783956975361E-2</v>
      </c>
      <c r="CB33">
        <f t="shared" si="64"/>
        <v>1.0481909537726696E-2</v>
      </c>
      <c r="CC33">
        <f t="shared" si="64"/>
        <v>6.7647051495064526E-3</v>
      </c>
      <c r="CD33">
        <f t="shared" si="64"/>
        <v>4.1851088992263816E-3</v>
      </c>
      <c r="CE33">
        <f t="shared" si="64"/>
        <v>2.4719945415325748E-3</v>
      </c>
      <c r="CF33">
        <f t="shared" si="64"/>
        <v>1.3878005862708687E-3</v>
      </c>
      <c r="CG33">
        <f t="shared" si="64"/>
        <v>7.3691559539979445E-4</v>
      </c>
      <c r="CH33">
        <f t="shared" si="64"/>
        <v>3.6811224089414244E-4</v>
      </c>
      <c r="CI33">
        <f t="shared" si="64"/>
        <v>1.7197622259629953E-4</v>
      </c>
      <c r="CJ33">
        <f t="shared" si="64"/>
        <v>7.465532300154761E-5</v>
      </c>
      <c r="CK33">
        <f t="shared" si="64"/>
        <v>2.9901092509350946E-5</v>
      </c>
      <c r="CL33">
        <f t="shared" si="64"/>
        <v>1.0964323840373707E-5</v>
      </c>
      <c r="CM33">
        <f t="shared" si="64"/>
        <v>3.6507334646023674E-6</v>
      </c>
      <c r="CN33">
        <f t="shared" si="64"/>
        <v>1.0928316481309256E-6</v>
      </c>
      <c r="CO33">
        <f t="shared" ref="CO33:DN33" si="65">CN34/CN$3</f>
        <v>0</v>
      </c>
      <c r="CP33">
        <f t="shared" si="65"/>
        <v>0</v>
      </c>
      <c r="CQ33">
        <f t="shared" si="65"/>
        <v>0</v>
      </c>
      <c r="CR33">
        <f t="shared" si="65"/>
        <v>0</v>
      </c>
      <c r="CS33">
        <f t="shared" si="65"/>
        <v>0</v>
      </c>
      <c r="CT33">
        <f t="shared" si="65"/>
        <v>0</v>
      </c>
      <c r="CU33">
        <f t="shared" si="65"/>
        <v>0</v>
      </c>
      <c r="CV33">
        <f t="shared" si="65"/>
        <v>0</v>
      </c>
      <c r="CW33">
        <f t="shared" si="65"/>
        <v>0</v>
      </c>
      <c r="CX33">
        <f t="shared" si="65"/>
        <v>0</v>
      </c>
      <c r="CY33">
        <f t="shared" si="65"/>
        <v>0</v>
      </c>
      <c r="CZ33">
        <f t="shared" si="65"/>
        <v>0</v>
      </c>
      <c r="DA33">
        <f t="shared" si="65"/>
        <v>0</v>
      </c>
      <c r="DB33">
        <f t="shared" si="65"/>
        <v>0</v>
      </c>
      <c r="DC33">
        <f t="shared" si="65"/>
        <v>0</v>
      </c>
      <c r="DD33">
        <f t="shared" si="65"/>
        <v>0</v>
      </c>
      <c r="DE33">
        <f t="shared" si="65"/>
        <v>0</v>
      </c>
      <c r="DF33">
        <f t="shared" si="65"/>
        <v>0</v>
      </c>
      <c r="DG33">
        <f t="shared" si="65"/>
        <v>0</v>
      </c>
      <c r="DH33">
        <f t="shared" si="65"/>
        <v>0</v>
      </c>
      <c r="DI33">
        <f t="shared" si="65"/>
        <v>0</v>
      </c>
      <c r="DJ33">
        <f t="shared" si="65"/>
        <v>0</v>
      </c>
      <c r="DK33">
        <f t="shared" si="65"/>
        <v>0</v>
      </c>
      <c r="DL33">
        <f t="shared" si="65"/>
        <v>0</v>
      </c>
      <c r="DM33">
        <f t="shared" si="65"/>
        <v>0</v>
      </c>
      <c r="DN33">
        <f t="shared" si="65"/>
        <v>0</v>
      </c>
    </row>
    <row r="34" spans="1:118" x14ac:dyDescent="0.2">
      <c r="A34">
        <v>30</v>
      </c>
      <c r="B34">
        <v>49</v>
      </c>
      <c r="C34">
        <f t="shared" si="2"/>
        <v>0.23137744865585788</v>
      </c>
      <c r="D34">
        <f t="shared" si="3"/>
        <v>5.3535523746494153E-2</v>
      </c>
      <c r="E34">
        <v>5.4599999999999996E-3</v>
      </c>
      <c r="F34">
        <f t="shared" si="0"/>
        <v>0.99453999999999998</v>
      </c>
      <c r="G34" s="34">
        <f t="shared" si="5"/>
        <v>0.93067020033192349</v>
      </c>
      <c r="H34" s="34"/>
      <c r="I34">
        <v>292.15502726887303</v>
      </c>
      <c r="J34">
        <v>49</v>
      </c>
      <c r="K34" s="38">
        <f t="shared" si="6"/>
        <v>292.15502726887308</v>
      </c>
      <c r="L34" s="22">
        <f t="shared" si="1"/>
        <v>311.15206128134446</v>
      </c>
      <c r="M34" s="23">
        <f t="shared" si="4"/>
        <v>439.52824054796787</v>
      </c>
      <c r="T34" s="60">
        <v>238.81</v>
      </c>
      <c r="U34">
        <v>5.4599999999999996E-3</v>
      </c>
      <c r="V34">
        <v>1.6393442622950821E-2</v>
      </c>
      <c r="W34">
        <v>3.9210560847676823E-2</v>
      </c>
      <c r="Z34">
        <f t="shared" si="10"/>
        <v>4.6600000000000001E-3</v>
      </c>
      <c r="AA34">
        <f t="shared" si="11"/>
        <v>0.99534</v>
      </c>
      <c r="AB34" s="34">
        <f t="shared" si="15"/>
        <v>0.94051977638454676</v>
      </c>
      <c r="AC34">
        <f t="shared" ref="AC34:CN34" si="66">AB35/AB$3</f>
        <v>0.93674440344711918</v>
      </c>
      <c r="AD34">
        <f t="shared" si="66"/>
        <v>0.9326183544600255</v>
      </c>
      <c r="AE34">
        <f t="shared" si="66"/>
        <v>0.92811818380380628</v>
      </c>
      <c r="AF34">
        <f t="shared" si="66"/>
        <v>0.92320288432307107</v>
      </c>
      <c r="AG34">
        <f t="shared" si="66"/>
        <v>0.91785122466444302</v>
      </c>
      <c r="AH34">
        <f t="shared" si="66"/>
        <v>0.91200656038515626</v>
      </c>
      <c r="AI34">
        <f t="shared" si="66"/>
        <v>0.9056417914026641</v>
      </c>
      <c r="AJ34">
        <f t="shared" si="66"/>
        <v>0.89872254193246659</v>
      </c>
      <c r="AK34">
        <f t="shared" si="66"/>
        <v>0.89119876342979243</v>
      </c>
      <c r="AL34">
        <f t="shared" si="66"/>
        <v>0.88302344679448808</v>
      </c>
      <c r="AM34">
        <f t="shared" si="66"/>
        <v>0.87413546253829133</v>
      </c>
      <c r="AN34">
        <f t="shared" si="66"/>
        <v>0.8644957110959226</v>
      </c>
      <c r="AO34">
        <f t="shared" si="66"/>
        <v>0.85405213874711283</v>
      </c>
      <c r="AP34">
        <f t="shared" si="66"/>
        <v>0.84274132311289085</v>
      </c>
      <c r="AQ34">
        <f t="shared" si="66"/>
        <v>0.83051519911862737</v>
      </c>
      <c r="AR34">
        <f t="shared" si="66"/>
        <v>0.81730837719655114</v>
      </c>
      <c r="AS34">
        <f t="shared" si="66"/>
        <v>0.8030730940950378</v>
      </c>
      <c r="AT34">
        <f t="shared" si="66"/>
        <v>0.78806960366292089</v>
      </c>
      <c r="AU34">
        <f t="shared" si="66"/>
        <v>0.77128233151376147</v>
      </c>
      <c r="AV34">
        <f t="shared" si="66"/>
        <v>0.75362032183682703</v>
      </c>
      <c r="AW34">
        <f t="shared" si="66"/>
        <v>0.73471973395337198</v>
      </c>
      <c r="AX34">
        <f t="shared" si="66"/>
        <v>0.71453561175624203</v>
      </c>
      <c r="AY34">
        <f t="shared" si="66"/>
        <v>0.69304506436413493</v>
      </c>
      <c r="AZ34">
        <f t="shared" si="66"/>
        <v>0.6702208099164042</v>
      </c>
      <c r="BA34">
        <f t="shared" si="66"/>
        <v>0.64606355722482012</v>
      </c>
      <c r="BB34">
        <f t="shared" si="66"/>
        <v>0.62057129035841874</v>
      </c>
      <c r="BC34">
        <f t="shared" si="66"/>
        <v>0.59377121655491394</v>
      </c>
      <c r="BD34">
        <f t="shared" si="66"/>
        <v>0.56571541621073251</v>
      </c>
      <c r="BE34">
        <f t="shared" si="66"/>
        <v>0.53647329204924077</v>
      </c>
      <c r="BF34">
        <f t="shared" si="66"/>
        <v>0.50614718301490491</v>
      </c>
      <c r="BG34">
        <f t="shared" si="66"/>
        <v>0.47485921384113028</v>
      </c>
      <c r="BH34">
        <f t="shared" si="66"/>
        <v>0.44277116092410951</v>
      </c>
      <c r="BI34">
        <f t="shared" si="66"/>
        <v>0.41007485846540753</v>
      </c>
      <c r="BJ34">
        <f t="shared" si="66"/>
        <v>0.37699350866518139</v>
      </c>
      <c r="BK34">
        <f t="shared" si="66"/>
        <v>0.34378192234179966</v>
      </c>
      <c r="BL34">
        <f t="shared" si="66"/>
        <v>0.31071636208427178</v>
      </c>
      <c r="BM34">
        <f t="shared" si="66"/>
        <v>0.27810251843363892</v>
      </c>
      <c r="BN34">
        <f t="shared" si="66"/>
        <v>0.24626371811123673</v>
      </c>
      <c r="BO34">
        <f t="shared" si="66"/>
        <v>0.21552871450325406</v>
      </c>
      <c r="BP34">
        <f t="shared" si="66"/>
        <v>0.18621979544843034</v>
      </c>
      <c r="BQ34">
        <f t="shared" si="66"/>
        <v>0.15864293674746172</v>
      </c>
      <c r="BR34">
        <f t="shared" si="66"/>
        <v>0.13307620025339373</v>
      </c>
      <c r="BS34">
        <f t="shared" si="66"/>
        <v>0.10975316273719589</v>
      </c>
      <c r="BT34">
        <f t="shared" si="66"/>
        <v>8.8850086646705337E-2</v>
      </c>
      <c r="BU34">
        <f t="shared" si="66"/>
        <v>7.0477090698170444E-2</v>
      </c>
      <c r="BV34">
        <f t="shared" si="66"/>
        <v>5.4645155281089527E-2</v>
      </c>
      <c r="BW34">
        <f t="shared" si="66"/>
        <v>4.1377339340227644E-2</v>
      </c>
      <c r="BX34">
        <f t="shared" si="66"/>
        <v>3.0488275331251077E-2</v>
      </c>
      <c r="BY34">
        <f t="shared" si="66"/>
        <v>2.1812283258402711E-2</v>
      </c>
      <c r="BZ34">
        <f t="shared" si="66"/>
        <v>1.5109307852829185E-2</v>
      </c>
      <c r="CA34">
        <f t="shared" si="66"/>
        <v>1.0101835497888727E-2</v>
      </c>
      <c r="CB34">
        <f t="shared" si="66"/>
        <v>6.496687531483007E-3</v>
      </c>
      <c r="CC34">
        <f t="shared" si="66"/>
        <v>4.0038936838898793E-3</v>
      </c>
      <c r="CD34">
        <f t="shared" si="66"/>
        <v>2.3550444797726688E-3</v>
      </c>
      <c r="CE34">
        <f t="shared" si="66"/>
        <v>1.3160651739665275E-3</v>
      </c>
      <c r="CF34">
        <f t="shared" si="66"/>
        <v>6.9530197172756804E-4</v>
      </c>
      <c r="CG34">
        <f t="shared" si="66"/>
        <v>3.4540707787579175E-4</v>
      </c>
      <c r="CH34">
        <f t="shared" si="66"/>
        <v>1.6039018447998682E-4</v>
      </c>
      <c r="CI34">
        <f t="shared" si="66"/>
        <v>6.9163677441553769E-5</v>
      </c>
      <c r="CJ34">
        <f t="shared" si="66"/>
        <v>2.7500034780850062E-5</v>
      </c>
      <c r="CK34">
        <f t="shared" si="66"/>
        <v>1.0003410499003356E-5</v>
      </c>
      <c r="CL34">
        <f t="shared" si="66"/>
        <v>3.3016868380517351E-6</v>
      </c>
      <c r="CM34">
        <f t="shared" si="66"/>
        <v>9.7887116386383275E-7</v>
      </c>
      <c r="CN34">
        <f t="shared" si="66"/>
        <v>0</v>
      </c>
      <c r="CO34">
        <f t="shared" ref="CO34:DN34" si="67">CN35/CN$3</f>
        <v>0</v>
      </c>
      <c r="CP34">
        <f t="shared" si="67"/>
        <v>0</v>
      </c>
      <c r="CQ34">
        <f t="shared" si="67"/>
        <v>0</v>
      </c>
      <c r="CR34">
        <f t="shared" si="67"/>
        <v>0</v>
      </c>
      <c r="CS34">
        <f t="shared" si="67"/>
        <v>0</v>
      </c>
      <c r="CT34">
        <f t="shared" si="67"/>
        <v>0</v>
      </c>
      <c r="CU34">
        <f t="shared" si="67"/>
        <v>0</v>
      </c>
      <c r="CV34">
        <f t="shared" si="67"/>
        <v>0</v>
      </c>
      <c r="CW34">
        <f t="shared" si="67"/>
        <v>0</v>
      </c>
      <c r="CX34">
        <f t="shared" si="67"/>
        <v>0</v>
      </c>
      <c r="CY34">
        <f t="shared" si="67"/>
        <v>0</v>
      </c>
      <c r="CZ34">
        <f t="shared" si="67"/>
        <v>0</v>
      </c>
      <c r="DA34">
        <f t="shared" si="67"/>
        <v>0</v>
      </c>
      <c r="DB34">
        <f t="shared" si="67"/>
        <v>0</v>
      </c>
      <c r="DC34">
        <f t="shared" si="67"/>
        <v>0</v>
      </c>
      <c r="DD34">
        <f t="shared" si="67"/>
        <v>0</v>
      </c>
      <c r="DE34">
        <f t="shared" si="67"/>
        <v>0</v>
      </c>
      <c r="DF34">
        <f t="shared" si="67"/>
        <v>0</v>
      </c>
      <c r="DG34">
        <f t="shared" si="67"/>
        <v>0</v>
      </c>
      <c r="DH34">
        <f t="shared" si="67"/>
        <v>0</v>
      </c>
      <c r="DI34">
        <f t="shared" si="67"/>
        <v>0</v>
      </c>
      <c r="DJ34">
        <f t="shared" si="67"/>
        <v>0</v>
      </c>
      <c r="DK34">
        <f t="shared" si="67"/>
        <v>0</v>
      </c>
      <c r="DL34">
        <f t="shared" si="67"/>
        <v>0</v>
      </c>
      <c r="DM34">
        <f t="shared" si="67"/>
        <v>0</v>
      </c>
      <c r="DN34">
        <f t="shared" si="67"/>
        <v>0</v>
      </c>
    </row>
    <row r="35" spans="1:118" x14ac:dyDescent="0.2">
      <c r="A35">
        <v>31</v>
      </c>
      <c r="B35">
        <v>50</v>
      </c>
      <c r="C35">
        <f t="shared" si="2"/>
        <v>0.22035947491034086</v>
      </c>
      <c r="D35">
        <f t="shared" si="3"/>
        <v>4.8558298182761139E-2</v>
      </c>
      <c r="E35">
        <v>5.9199999999999999E-3</v>
      </c>
      <c r="F35">
        <f t="shared" si="0"/>
        <v>0.99407999999999996</v>
      </c>
      <c r="G35" s="34">
        <f t="shared" si="5"/>
        <v>0.9251606327459585</v>
      </c>
      <c r="H35" s="34"/>
      <c r="I35">
        <v>302.95692343426765</v>
      </c>
      <c r="J35">
        <v>50</v>
      </c>
      <c r="K35" s="38">
        <f t="shared" si="6"/>
        <v>302.95692343426788</v>
      </c>
      <c r="L35" s="22">
        <f t="shared" si="1"/>
        <v>315.48815875116861</v>
      </c>
      <c r="M35" s="23">
        <f t="shared" si="4"/>
        <v>439.52824054796787</v>
      </c>
      <c r="T35" s="58">
        <v>249.04</v>
      </c>
      <c r="U35">
        <v>5.9199999999999999E-3</v>
      </c>
      <c r="V35">
        <v>1.6666666666666666E-2</v>
      </c>
      <c r="W35">
        <v>3.9210560847676823E-2</v>
      </c>
      <c r="Z35">
        <f t="shared" si="10"/>
        <v>5.0400000000000002E-3</v>
      </c>
      <c r="AA35">
        <f t="shared" si="11"/>
        <v>0.99495999999999996</v>
      </c>
      <c r="AB35" s="34">
        <f t="shared" si="15"/>
        <v>0.93577955671156865</v>
      </c>
      <c r="AC35">
        <f t="shared" ref="AC35:CN35" si="68">AB36/AB$3</f>
        <v>0.93162977900429789</v>
      </c>
      <c r="AD35">
        <f t="shared" si="68"/>
        <v>0.92709725380162211</v>
      </c>
      <c r="AE35">
        <f t="shared" si="68"/>
        <v>0.92215966506378599</v>
      </c>
      <c r="AF35">
        <f t="shared" si="68"/>
        <v>0.91676816021933905</v>
      </c>
      <c r="AG35">
        <f t="shared" si="68"/>
        <v>0.91089391238148643</v>
      </c>
      <c r="AH35">
        <f t="shared" si="68"/>
        <v>0.90449162632758273</v>
      </c>
      <c r="AI35">
        <f t="shared" si="68"/>
        <v>0.89752724095169634</v>
      </c>
      <c r="AJ35">
        <f t="shared" si="68"/>
        <v>0.88995999714862506</v>
      </c>
      <c r="AK35">
        <f t="shared" si="68"/>
        <v>0.8817342325621681</v>
      </c>
      <c r="AL35">
        <f t="shared" si="68"/>
        <v>0.87279803528060773</v>
      </c>
      <c r="AM35">
        <f t="shared" si="68"/>
        <v>0.86310387300105817</v>
      </c>
      <c r="AN35">
        <f t="shared" si="68"/>
        <v>0.85260025011124274</v>
      </c>
      <c r="AO35">
        <f t="shared" si="68"/>
        <v>0.84123281614451884</v>
      </c>
      <c r="AP35">
        <f t="shared" si="68"/>
        <v>0.82893722024030192</v>
      </c>
      <c r="AQ35">
        <f t="shared" si="68"/>
        <v>0.81566558735838612</v>
      </c>
      <c r="AR35">
        <f t="shared" si="68"/>
        <v>0.80135451767367438</v>
      </c>
      <c r="AS35">
        <f t="shared" si="68"/>
        <v>0.78627280496656948</v>
      </c>
      <c r="AT35">
        <f t="shared" si="68"/>
        <v>0.76940811544818299</v>
      </c>
      <c r="AU35">
        <f t="shared" si="68"/>
        <v>0.75166090900005122</v>
      </c>
      <c r="AV35">
        <f t="shared" si="68"/>
        <v>0.73267721309298162</v>
      </c>
      <c r="AW35">
        <f t="shared" si="68"/>
        <v>0.71240629563320845</v>
      </c>
      <c r="AX35">
        <f t="shared" si="68"/>
        <v>0.69082732015816972</v>
      </c>
      <c r="AY35">
        <f t="shared" si="68"/>
        <v>0.66791525033029175</v>
      </c>
      <c r="AZ35">
        <f t="shared" si="68"/>
        <v>0.64366666142751605</v>
      </c>
      <c r="BA35">
        <f t="shared" si="68"/>
        <v>0.61808900519698506</v>
      </c>
      <c r="BB35">
        <f t="shared" si="68"/>
        <v>0.59121206261156223</v>
      </c>
      <c r="BC35">
        <f t="shared" si="68"/>
        <v>0.56307918237119048</v>
      </c>
      <c r="BD35">
        <f t="shared" si="68"/>
        <v>0.53376946665731262</v>
      </c>
      <c r="BE35">
        <f t="shared" si="68"/>
        <v>0.50338361939564347</v>
      </c>
      <c r="BF35">
        <f t="shared" si="68"/>
        <v>0.47204804729519079</v>
      </c>
      <c r="BG35">
        <f t="shared" si="68"/>
        <v>0.43992857007097674</v>
      </c>
      <c r="BH35">
        <f t="shared" si="68"/>
        <v>0.40721663670190361</v>
      </c>
      <c r="BI35">
        <f t="shared" si="68"/>
        <v>0.3741358978694993</v>
      </c>
      <c r="BJ35">
        <f t="shared" si="68"/>
        <v>0.34094915930170322</v>
      </c>
      <c r="BK35">
        <f t="shared" si="68"/>
        <v>0.30793234347999671</v>
      </c>
      <c r="BL35">
        <f t="shared" si="68"/>
        <v>0.27539101887891093</v>
      </c>
      <c r="BM35">
        <f t="shared" si="68"/>
        <v>0.24364839742489541</v>
      </c>
      <c r="BN35">
        <f t="shared" si="68"/>
        <v>0.21303289198930636</v>
      </c>
      <c r="BO35">
        <f t="shared" si="68"/>
        <v>0.18386970162987115</v>
      </c>
      <c r="BP35">
        <f t="shared" si="68"/>
        <v>0.15646000993781664</v>
      </c>
      <c r="BQ35">
        <f t="shared" si="68"/>
        <v>0.13107872648759028</v>
      </c>
      <c r="BR35">
        <f t="shared" si="68"/>
        <v>0.10795540593156062</v>
      </c>
      <c r="BS35">
        <f t="shared" si="68"/>
        <v>8.7261447097462239E-2</v>
      </c>
      <c r="BT35">
        <f t="shared" si="68"/>
        <v>6.9101377887742163E-2</v>
      </c>
      <c r="BU35">
        <f t="shared" si="68"/>
        <v>5.350197863260913E-2</v>
      </c>
      <c r="BV35">
        <f t="shared" si="68"/>
        <v>4.039752394465105E-2</v>
      </c>
      <c r="BW35">
        <f t="shared" si="68"/>
        <v>2.9712653606824048E-2</v>
      </c>
      <c r="BX35">
        <f t="shared" si="68"/>
        <v>2.1206119906651701E-2</v>
      </c>
      <c r="BY35">
        <f t="shared" si="68"/>
        <v>1.4650438173338762E-2</v>
      </c>
      <c r="BZ35">
        <f t="shared" si="68"/>
        <v>9.7666565960687797E-3</v>
      </c>
      <c r="CA35">
        <f t="shared" si="68"/>
        <v>6.2611176415914337E-3</v>
      </c>
      <c r="CB35">
        <f t="shared" si="68"/>
        <v>3.845259416134162E-3</v>
      </c>
      <c r="CC35">
        <f t="shared" si="68"/>
        <v>2.2530710537985122E-3</v>
      </c>
      <c r="CD35">
        <f t="shared" si="68"/>
        <v>1.2538021305861713E-3</v>
      </c>
      <c r="CE35">
        <f t="shared" si="68"/>
        <v>6.5936181280897E-4</v>
      </c>
      <c r="CF35">
        <f t="shared" si="68"/>
        <v>3.2590194018814578E-4</v>
      </c>
      <c r="CG35">
        <f t="shared" si="68"/>
        <v>1.5049731790126123E-4</v>
      </c>
      <c r="CH35">
        <f t="shared" si="68"/>
        <v>6.4504120492316284E-5</v>
      </c>
      <c r="CI35">
        <f t="shared" si="68"/>
        <v>2.5477132222370734E-5</v>
      </c>
      <c r="CJ35">
        <f t="shared" si="68"/>
        <v>9.2001366359333857E-6</v>
      </c>
      <c r="CK35">
        <f t="shared" si="68"/>
        <v>3.0123270035648814E-6</v>
      </c>
      <c r="CL35">
        <f t="shared" si="68"/>
        <v>8.8528129188681165E-7</v>
      </c>
      <c r="CM35">
        <f t="shared" si="68"/>
        <v>0</v>
      </c>
      <c r="CN35">
        <f t="shared" si="68"/>
        <v>0</v>
      </c>
      <c r="CO35">
        <f t="shared" ref="CO35:DN35" si="69">CN36/CN$3</f>
        <v>0</v>
      </c>
      <c r="CP35">
        <f t="shared" si="69"/>
        <v>0</v>
      </c>
      <c r="CQ35">
        <f t="shared" si="69"/>
        <v>0</v>
      </c>
      <c r="CR35">
        <f t="shared" si="69"/>
        <v>0</v>
      </c>
      <c r="CS35">
        <f t="shared" si="69"/>
        <v>0</v>
      </c>
      <c r="CT35">
        <f t="shared" si="69"/>
        <v>0</v>
      </c>
      <c r="CU35">
        <f t="shared" si="69"/>
        <v>0</v>
      </c>
      <c r="CV35">
        <f t="shared" si="69"/>
        <v>0</v>
      </c>
      <c r="CW35">
        <f t="shared" si="69"/>
        <v>0</v>
      </c>
      <c r="CX35">
        <f t="shared" si="69"/>
        <v>0</v>
      </c>
      <c r="CY35">
        <f t="shared" si="69"/>
        <v>0</v>
      </c>
      <c r="CZ35">
        <f t="shared" si="69"/>
        <v>0</v>
      </c>
      <c r="DA35">
        <f t="shared" si="69"/>
        <v>0</v>
      </c>
      <c r="DB35">
        <f t="shared" si="69"/>
        <v>0</v>
      </c>
      <c r="DC35">
        <f t="shared" si="69"/>
        <v>0</v>
      </c>
      <c r="DD35">
        <f t="shared" si="69"/>
        <v>0</v>
      </c>
      <c r="DE35">
        <f t="shared" si="69"/>
        <v>0</v>
      </c>
      <c r="DF35">
        <f t="shared" si="69"/>
        <v>0</v>
      </c>
      <c r="DG35">
        <f t="shared" si="69"/>
        <v>0</v>
      </c>
      <c r="DH35">
        <f t="shared" si="69"/>
        <v>0</v>
      </c>
      <c r="DI35">
        <f t="shared" si="69"/>
        <v>0</v>
      </c>
      <c r="DJ35">
        <f t="shared" si="69"/>
        <v>0</v>
      </c>
      <c r="DK35">
        <f t="shared" si="69"/>
        <v>0</v>
      </c>
      <c r="DL35">
        <f t="shared" si="69"/>
        <v>0</v>
      </c>
      <c r="DM35">
        <f t="shared" si="69"/>
        <v>0</v>
      </c>
      <c r="DN35">
        <f t="shared" si="69"/>
        <v>0</v>
      </c>
    </row>
    <row r="36" spans="1:118" x14ac:dyDescent="0.2">
      <c r="A36">
        <v>32</v>
      </c>
      <c r="B36">
        <v>51</v>
      </c>
      <c r="C36">
        <f t="shared" si="2"/>
        <v>0.20986616658127699</v>
      </c>
      <c r="D36">
        <f t="shared" si="3"/>
        <v>4.4043807875520306E-2</v>
      </c>
      <c r="E36">
        <v>6.4200000000000004E-3</v>
      </c>
      <c r="F36">
        <f t="shared" si="0"/>
        <v>0.99358000000000002</v>
      </c>
      <c r="G36" s="34">
        <f t="shared" si="5"/>
        <v>0.91922110148372949</v>
      </c>
      <c r="H36" s="34"/>
      <c r="I36">
        <v>314.04390955052025</v>
      </c>
      <c r="J36">
        <v>51</v>
      </c>
      <c r="K36" s="38">
        <f t="shared" si="6"/>
        <v>314.04390955052043</v>
      </c>
      <c r="L36" s="22">
        <f t="shared" si="1"/>
        <v>319.92803392073932</v>
      </c>
      <c r="M36" s="23">
        <f t="shared" si="4"/>
        <v>439.52824054796787</v>
      </c>
      <c r="T36" s="59">
        <v>259.60000000000002</v>
      </c>
      <c r="U36">
        <v>6.4200000000000004E-3</v>
      </c>
      <c r="V36">
        <v>1.6949152542372881E-2</v>
      </c>
      <c r="W36">
        <v>3.9210560847676823E-2</v>
      </c>
      <c r="Z36">
        <f t="shared" si="10"/>
        <v>5.4599999999999996E-3</v>
      </c>
      <c r="AA36">
        <f t="shared" si="11"/>
        <v>0.99453999999999998</v>
      </c>
      <c r="AB36" s="34">
        <f t="shared" si="15"/>
        <v>0.93067020033192349</v>
      </c>
      <c r="AC36">
        <f t="shared" ref="AC36:CN36" si="70">AB37/AB$3</f>
        <v>0.92611453071259242</v>
      </c>
      <c r="AD36">
        <f t="shared" si="70"/>
        <v>0.92114528943221585</v>
      </c>
      <c r="AE36">
        <f t="shared" si="70"/>
        <v>0.91573221219829126</v>
      </c>
      <c r="AF36">
        <f t="shared" si="70"/>
        <v>0.90981905756487635</v>
      </c>
      <c r="AG36">
        <f t="shared" si="70"/>
        <v>0.90338814654346311</v>
      </c>
      <c r="AH36">
        <f t="shared" si="70"/>
        <v>0.89638738135568774</v>
      </c>
      <c r="AI36">
        <f t="shared" si="70"/>
        <v>0.88877635035241731</v>
      </c>
      <c r="AJ36">
        <f t="shared" si="70"/>
        <v>0.88050862197890667</v>
      </c>
      <c r="AK36">
        <f t="shared" si="70"/>
        <v>0.871523750149098</v>
      </c>
      <c r="AL36">
        <f t="shared" si="70"/>
        <v>0.86178332407536651</v>
      </c>
      <c r="AM36">
        <f t="shared" si="70"/>
        <v>0.85122756370856367</v>
      </c>
      <c r="AN36">
        <f t="shared" si="70"/>
        <v>0.83980272035707315</v>
      </c>
      <c r="AO36">
        <f t="shared" si="70"/>
        <v>0.8274534226160718</v>
      </c>
      <c r="AP36">
        <f t="shared" si="70"/>
        <v>0.81411582274240513</v>
      </c>
      <c r="AQ36">
        <f t="shared" si="70"/>
        <v>0.7997437950931503</v>
      </c>
      <c r="AR36">
        <f t="shared" si="70"/>
        <v>0.78459018116394097</v>
      </c>
      <c r="AS36">
        <f t="shared" si="70"/>
        <v>0.76765386494496113</v>
      </c>
      <c r="AT36">
        <f t="shared" si="70"/>
        <v>0.74983437299118105</v>
      </c>
      <c r="AU36">
        <f t="shared" si="70"/>
        <v>0.73077225233893983</v>
      </c>
      <c r="AV36">
        <f t="shared" si="70"/>
        <v>0.71042580613134809</v>
      </c>
      <c r="AW36">
        <f t="shared" si="70"/>
        <v>0.68876865474409843</v>
      </c>
      <c r="AX36">
        <f t="shared" si="70"/>
        <v>0.66577792152923487</v>
      </c>
      <c r="AY36">
        <f t="shared" si="70"/>
        <v>0.64145244811220536</v>
      </c>
      <c r="AZ36">
        <f t="shared" si="70"/>
        <v>0.61579589498770426</v>
      </c>
      <c r="BA36">
        <f t="shared" si="70"/>
        <v>0.58884721436111598</v>
      </c>
      <c r="BB36">
        <f t="shared" si="70"/>
        <v>0.56065231109517066</v>
      </c>
      <c r="BC36">
        <f t="shared" si="70"/>
        <v>0.53128210094268957</v>
      </c>
      <c r="BD36">
        <f t="shared" si="70"/>
        <v>0.50084656595388943</v>
      </c>
      <c r="BE36">
        <f t="shared" si="70"/>
        <v>0.46947066495695905</v>
      </c>
      <c r="BF36">
        <f t="shared" si="70"/>
        <v>0.43732419293615654</v>
      </c>
      <c r="BG36">
        <f t="shared" si="70"/>
        <v>0.40460230589427743</v>
      </c>
      <c r="BH36">
        <f t="shared" si="70"/>
        <v>0.37152817066134886</v>
      </c>
      <c r="BI36">
        <f t="shared" si="70"/>
        <v>0.33836476467419629</v>
      </c>
      <c r="BJ36">
        <f t="shared" si="70"/>
        <v>0.30539498096972151</v>
      </c>
      <c r="BK36">
        <f t="shared" si="70"/>
        <v>0.2729235153497559</v>
      </c>
      <c r="BL36">
        <f t="shared" si="70"/>
        <v>0.24127282555000268</v>
      </c>
      <c r="BM36">
        <f t="shared" si="70"/>
        <v>0.21077048267637993</v>
      </c>
      <c r="BN36">
        <f t="shared" si="70"/>
        <v>0.18174049048499724</v>
      </c>
      <c r="BO36">
        <f t="shared" si="70"/>
        <v>0.15448548461240141</v>
      </c>
      <c r="BP36">
        <f t="shared" si="70"/>
        <v>0.12927508321112105</v>
      </c>
      <c r="BQ36">
        <f t="shared" si="70"/>
        <v>0.1063349952885279</v>
      </c>
      <c r="BR36">
        <f t="shared" si="70"/>
        <v>8.5832104594005809E-2</v>
      </c>
      <c r="BS36">
        <f t="shared" si="70"/>
        <v>6.7865845251109336E-2</v>
      </c>
      <c r="BT36">
        <f t="shared" si="70"/>
        <v>5.2457620009700598E-2</v>
      </c>
      <c r="BU36">
        <f t="shared" si="70"/>
        <v>3.9552407743728944E-2</v>
      </c>
      <c r="BV36">
        <f t="shared" si="70"/>
        <v>2.9009057969414453E-2</v>
      </c>
      <c r="BW36">
        <f t="shared" si="70"/>
        <v>2.066663621622648E-2</v>
      </c>
      <c r="BX36">
        <f t="shared" si="70"/>
        <v>1.4243302496501678E-2</v>
      </c>
      <c r="BY36">
        <f t="shared" si="70"/>
        <v>9.4700432352461707E-3</v>
      </c>
      <c r="BZ36">
        <f t="shared" si="70"/>
        <v>6.0533737582434298E-3</v>
      </c>
      <c r="CA36">
        <f t="shared" si="70"/>
        <v>3.7058303097051376E-3</v>
      </c>
      <c r="CB36">
        <f t="shared" si="70"/>
        <v>2.1638043786470153E-3</v>
      </c>
      <c r="CC36">
        <f t="shared" si="70"/>
        <v>1.1995124983317901E-3</v>
      </c>
      <c r="CD36">
        <f t="shared" si="70"/>
        <v>6.2816740544497762E-4</v>
      </c>
      <c r="CE36">
        <f t="shared" si="70"/>
        <v>3.0905606889982052E-4</v>
      </c>
      <c r="CF36">
        <f t="shared" si="70"/>
        <v>1.41998734359377E-4</v>
      </c>
      <c r="CG36">
        <f t="shared" si="70"/>
        <v>6.0525506340350223E-5</v>
      </c>
      <c r="CH36">
        <f t="shared" si="70"/>
        <v>2.3760737824549615E-5</v>
      </c>
      <c r="CI36">
        <f t="shared" si="70"/>
        <v>8.5233745849941259E-6</v>
      </c>
      <c r="CJ36">
        <f t="shared" si="70"/>
        <v>2.7704371451786212E-6</v>
      </c>
      <c r="CK36">
        <f t="shared" si="70"/>
        <v>8.076952394658515E-7</v>
      </c>
      <c r="CL36">
        <f t="shared" si="70"/>
        <v>0</v>
      </c>
      <c r="CM36">
        <f t="shared" si="70"/>
        <v>0</v>
      </c>
      <c r="CN36">
        <f t="shared" si="70"/>
        <v>0</v>
      </c>
      <c r="CO36">
        <f t="shared" ref="CO36:DN36" si="71">CN37/CN$3</f>
        <v>0</v>
      </c>
      <c r="CP36">
        <f t="shared" si="71"/>
        <v>0</v>
      </c>
      <c r="CQ36">
        <f t="shared" si="71"/>
        <v>0</v>
      </c>
      <c r="CR36">
        <f t="shared" si="71"/>
        <v>0</v>
      </c>
      <c r="CS36">
        <f t="shared" si="71"/>
        <v>0</v>
      </c>
      <c r="CT36">
        <f t="shared" si="71"/>
        <v>0</v>
      </c>
      <c r="CU36">
        <f t="shared" si="71"/>
        <v>0</v>
      </c>
      <c r="CV36">
        <f t="shared" si="71"/>
        <v>0</v>
      </c>
      <c r="CW36">
        <f t="shared" si="71"/>
        <v>0</v>
      </c>
      <c r="CX36">
        <f t="shared" si="71"/>
        <v>0</v>
      </c>
      <c r="CY36">
        <f t="shared" si="71"/>
        <v>0</v>
      </c>
      <c r="CZ36">
        <f t="shared" si="71"/>
        <v>0</v>
      </c>
      <c r="DA36">
        <f t="shared" si="71"/>
        <v>0</v>
      </c>
      <c r="DB36">
        <f t="shared" si="71"/>
        <v>0</v>
      </c>
      <c r="DC36">
        <f t="shared" si="71"/>
        <v>0</v>
      </c>
      <c r="DD36">
        <f t="shared" si="71"/>
        <v>0</v>
      </c>
      <c r="DE36">
        <f t="shared" si="71"/>
        <v>0</v>
      </c>
      <c r="DF36">
        <f t="shared" si="71"/>
        <v>0</v>
      </c>
      <c r="DG36">
        <f t="shared" si="71"/>
        <v>0</v>
      </c>
      <c r="DH36">
        <f t="shared" si="71"/>
        <v>0</v>
      </c>
      <c r="DI36">
        <f t="shared" si="71"/>
        <v>0</v>
      </c>
      <c r="DJ36">
        <f t="shared" si="71"/>
        <v>0</v>
      </c>
      <c r="DK36">
        <f t="shared" si="71"/>
        <v>0</v>
      </c>
      <c r="DL36">
        <f t="shared" si="71"/>
        <v>0</v>
      </c>
      <c r="DM36">
        <f t="shared" si="71"/>
        <v>0</v>
      </c>
      <c r="DN36">
        <f t="shared" si="71"/>
        <v>0</v>
      </c>
    </row>
    <row r="37" spans="1:118" x14ac:dyDescent="0.2">
      <c r="A37">
        <v>33</v>
      </c>
      <c r="B37">
        <v>52</v>
      </c>
      <c r="C37">
        <f t="shared" si="2"/>
        <v>0.19987253960121618</v>
      </c>
      <c r="D37">
        <f t="shared" si="3"/>
        <v>3.9949032086639726E-2</v>
      </c>
      <c r="E37">
        <v>6.9699999999999996E-3</v>
      </c>
      <c r="F37">
        <f t="shared" si="0"/>
        <v>0.99302999999999997</v>
      </c>
      <c r="G37" s="34">
        <f t="shared" si="5"/>
        <v>0.91281413040638781</v>
      </c>
      <c r="H37" s="34"/>
      <c r="I37">
        <v>325.41527106830478</v>
      </c>
      <c r="J37">
        <v>52</v>
      </c>
      <c r="K37" s="38">
        <f t="shared" si="6"/>
        <v>325.415271068305</v>
      </c>
      <c r="L37" s="22">
        <f t="shared" ref="L37:L68" si="72">-PV(0.05,110-B37,1)/(110-B37)*1000</f>
        <v>324.47485692051379</v>
      </c>
      <c r="M37" s="23">
        <f t="shared" si="4"/>
        <v>439.52824054796787</v>
      </c>
      <c r="T37" s="60">
        <v>270.49</v>
      </c>
      <c r="U37">
        <v>6.9699999999999996E-3</v>
      </c>
      <c r="V37">
        <v>1.7241379310344827E-2</v>
      </c>
      <c r="W37">
        <v>3.9210560847676823E-2</v>
      </c>
      <c r="Z37">
        <f t="shared" si="10"/>
        <v>5.9199999999999999E-3</v>
      </c>
      <c r="AA37">
        <f t="shared" si="11"/>
        <v>0.99407999999999996</v>
      </c>
      <c r="AB37" s="34">
        <f t="shared" si="15"/>
        <v>0.9251606327459585</v>
      </c>
      <c r="AC37">
        <f t="shared" ref="AC37:CN37" si="73">AB38/AB$3</f>
        <v>0.9201688754254177</v>
      </c>
      <c r="AD37">
        <f t="shared" si="73"/>
        <v>0.91472490676487317</v>
      </c>
      <c r="AE37">
        <f t="shared" si="73"/>
        <v>0.90879096202982812</v>
      </c>
      <c r="AF37">
        <f t="shared" si="73"/>
        <v>0.90232214853054182</v>
      </c>
      <c r="AG37">
        <f t="shared" si="73"/>
        <v>0.89529378875043375</v>
      </c>
      <c r="AH37">
        <f t="shared" si="73"/>
        <v>0.8876476043874697</v>
      </c>
      <c r="AI37">
        <f t="shared" si="73"/>
        <v>0.87933754551167465</v>
      </c>
      <c r="AJ37">
        <f t="shared" si="73"/>
        <v>0.8703123321363907</v>
      </c>
      <c r="AK37">
        <f t="shared" si="73"/>
        <v>0.86052512042221641</v>
      </c>
      <c r="AL37">
        <f t="shared" si="73"/>
        <v>0.84992518553608953</v>
      </c>
      <c r="AM37">
        <f t="shared" si="73"/>
        <v>0.83845063797729824</v>
      </c>
      <c r="AN37">
        <f t="shared" si="73"/>
        <v>0.82604675179762443</v>
      </c>
      <c r="AO37">
        <f t="shared" si="73"/>
        <v>0.81265855541969623</v>
      </c>
      <c r="AP37">
        <f t="shared" si="73"/>
        <v>0.7982242818824733</v>
      </c>
      <c r="AQ37">
        <f t="shared" si="73"/>
        <v>0.7830131548998015</v>
      </c>
      <c r="AR37">
        <f t="shared" si="73"/>
        <v>0.76601108567397891</v>
      </c>
      <c r="AS37">
        <f t="shared" si="73"/>
        <v>0.74812475062076123</v>
      </c>
      <c r="AT37">
        <f t="shared" si="73"/>
        <v>0.72899647576575621</v>
      </c>
      <c r="AU37">
        <f t="shared" si="73"/>
        <v>0.7085786990354066</v>
      </c>
      <c r="AV37">
        <f t="shared" si="73"/>
        <v>0.68685387788390984</v>
      </c>
      <c r="AW37">
        <f t="shared" si="73"/>
        <v>0.66379390332307775</v>
      </c>
      <c r="AX37">
        <f t="shared" si="73"/>
        <v>0.63939980027824628</v>
      </c>
      <c r="AY37">
        <f t="shared" si="73"/>
        <v>0.61367755710894656</v>
      </c>
      <c r="AZ37">
        <f t="shared" si="73"/>
        <v>0.58666259119583619</v>
      </c>
      <c r="BA37">
        <f t="shared" si="73"/>
        <v>0.55840970185078997</v>
      </c>
      <c r="BB37">
        <f t="shared" si="73"/>
        <v>0.52899227508762658</v>
      </c>
      <c r="BC37">
        <f t="shared" si="73"/>
        <v>0.49851262095654436</v>
      </c>
      <c r="BD37">
        <f t="shared" si="73"/>
        <v>0.46710453280557596</v>
      </c>
      <c r="BE37">
        <f t="shared" si="73"/>
        <v>0.43493640284272511</v>
      </c>
      <c r="BF37">
        <f t="shared" si="73"/>
        <v>0.40220706024338326</v>
      </c>
      <c r="BG37">
        <f t="shared" si="73"/>
        <v>0.369142959805703</v>
      </c>
      <c r="BH37">
        <f t="shared" si="73"/>
        <v>0.33600636226441716</v>
      </c>
      <c r="BI37">
        <f t="shared" si="73"/>
        <v>0.30308008701397099</v>
      </c>
      <c r="BJ37">
        <f t="shared" si="73"/>
        <v>0.27067462558327388</v>
      </c>
      <c r="BK37">
        <f t="shared" si="73"/>
        <v>0.23911102103307466</v>
      </c>
      <c r="BL37">
        <f t="shared" si="73"/>
        <v>0.20871547047028521</v>
      </c>
      <c r="BM37">
        <f t="shared" si="73"/>
        <v>0.17981040647604657</v>
      </c>
      <c r="BN37">
        <f t="shared" si="73"/>
        <v>0.1526965427005898</v>
      </c>
      <c r="BO37">
        <f t="shared" si="73"/>
        <v>0.12764363166099671</v>
      </c>
      <c r="BP37">
        <f t="shared" si="73"/>
        <v>0.10487182575335775</v>
      </c>
      <c r="BQ37">
        <f t="shared" si="73"/>
        <v>8.4543764704049784E-2</v>
      </c>
      <c r="BR37">
        <f t="shared" si="73"/>
        <v>6.6754202705896173E-2</v>
      </c>
      <c r="BS37">
        <f t="shared" si="73"/>
        <v>5.1519677763927151E-2</v>
      </c>
      <c r="BT37">
        <f t="shared" si="73"/>
        <v>3.8780344744571357E-2</v>
      </c>
      <c r="BU37">
        <f t="shared" si="73"/>
        <v>2.84021884766943E-2</v>
      </c>
      <c r="BV37">
        <f t="shared" si="73"/>
        <v>2.0177250270626237E-2</v>
      </c>
      <c r="BW37">
        <f t="shared" si="73"/>
        <v>1.3880952880990675E-2</v>
      </c>
      <c r="BX37">
        <f t="shared" si="73"/>
        <v>9.2068707337386799E-3</v>
      </c>
      <c r="BY37">
        <f t="shared" si="73"/>
        <v>5.8695327972055769E-3</v>
      </c>
      <c r="BZ37">
        <f t="shared" si="73"/>
        <v>3.5828708600291214E-3</v>
      </c>
      <c r="CA37">
        <f t="shared" si="73"/>
        <v>2.0853448318772748E-3</v>
      </c>
      <c r="CB37">
        <f t="shared" si="73"/>
        <v>1.1519878131478847E-3</v>
      </c>
      <c r="CC37">
        <f t="shared" si="73"/>
        <v>6.0096775678921007E-4</v>
      </c>
      <c r="CD37">
        <f t="shared" si="73"/>
        <v>2.9443462628017002E-4</v>
      </c>
      <c r="CE37">
        <f t="shared" si="73"/>
        <v>1.3465881978034079E-4</v>
      </c>
      <c r="CF37">
        <f t="shared" si="73"/>
        <v>5.7107630997310643E-5</v>
      </c>
      <c r="CG37">
        <f t="shared" si="73"/>
        <v>2.2295175515531395E-5</v>
      </c>
      <c r="CH37">
        <f t="shared" si="73"/>
        <v>7.9491548392030705E-6</v>
      </c>
      <c r="CI37">
        <f t="shared" si="73"/>
        <v>2.5666437887792819E-6</v>
      </c>
      <c r="CJ37">
        <f t="shared" si="73"/>
        <v>7.4283731173674358E-7</v>
      </c>
      <c r="CK37">
        <f t="shared" si="73"/>
        <v>0</v>
      </c>
      <c r="CL37">
        <f t="shared" si="73"/>
        <v>0</v>
      </c>
      <c r="CM37">
        <f t="shared" si="73"/>
        <v>0</v>
      </c>
      <c r="CN37">
        <f t="shared" si="73"/>
        <v>0</v>
      </c>
      <c r="CO37">
        <f t="shared" ref="CO37:DN37" si="74">CN38/CN$3</f>
        <v>0</v>
      </c>
      <c r="CP37">
        <f t="shared" si="74"/>
        <v>0</v>
      </c>
      <c r="CQ37">
        <f t="shared" si="74"/>
        <v>0</v>
      </c>
      <c r="CR37">
        <f t="shared" si="74"/>
        <v>0</v>
      </c>
      <c r="CS37">
        <f t="shared" si="74"/>
        <v>0</v>
      </c>
      <c r="CT37">
        <f t="shared" si="74"/>
        <v>0</v>
      </c>
      <c r="CU37">
        <f t="shared" si="74"/>
        <v>0</v>
      </c>
      <c r="CV37">
        <f t="shared" si="74"/>
        <v>0</v>
      </c>
      <c r="CW37">
        <f t="shared" si="74"/>
        <v>0</v>
      </c>
      <c r="CX37">
        <f t="shared" si="74"/>
        <v>0</v>
      </c>
      <c r="CY37">
        <f t="shared" si="74"/>
        <v>0</v>
      </c>
      <c r="CZ37">
        <f t="shared" si="74"/>
        <v>0</v>
      </c>
      <c r="DA37">
        <f t="shared" si="74"/>
        <v>0</v>
      </c>
      <c r="DB37">
        <f t="shared" si="74"/>
        <v>0</v>
      </c>
      <c r="DC37">
        <f t="shared" si="74"/>
        <v>0</v>
      </c>
      <c r="DD37">
        <f t="shared" si="74"/>
        <v>0</v>
      </c>
      <c r="DE37">
        <f t="shared" si="74"/>
        <v>0</v>
      </c>
      <c r="DF37">
        <f t="shared" si="74"/>
        <v>0</v>
      </c>
      <c r="DG37">
        <f t="shared" si="74"/>
        <v>0</v>
      </c>
      <c r="DH37">
        <f t="shared" si="74"/>
        <v>0</v>
      </c>
      <c r="DI37">
        <f t="shared" si="74"/>
        <v>0</v>
      </c>
      <c r="DJ37">
        <f t="shared" si="74"/>
        <v>0</v>
      </c>
      <c r="DK37">
        <f t="shared" si="74"/>
        <v>0</v>
      </c>
      <c r="DL37">
        <f t="shared" si="74"/>
        <v>0</v>
      </c>
      <c r="DM37">
        <f t="shared" si="74"/>
        <v>0</v>
      </c>
      <c r="DN37">
        <f t="shared" si="74"/>
        <v>0</v>
      </c>
    </row>
    <row r="38" spans="1:118" x14ac:dyDescent="0.2">
      <c r="A38">
        <v>34</v>
      </c>
      <c r="B38">
        <v>53</v>
      </c>
      <c r="C38">
        <f t="shared" si="2"/>
        <v>0.19035479962020588</v>
      </c>
      <c r="D38">
        <f t="shared" si="3"/>
        <v>3.6234949738448735E-2</v>
      </c>
      <c r="E38">
        <v>7.5799999999999999E-3</v>
      </c>
      <c r="F38">
        <f t="shared" si="0"/>
        <v>0.99241999999999997</v>
      </c>
      <c r="G38" s="34">
        <f t="shared" si="5"/>
        <v>0.9058949992979074</v>
      </c>
      <c r="H38" s="34"/>
      <c r="I38">
        <v>337.06538032256833</v>
      </c>
      <c r="J38">
        <v>53</v>
      </c>
      <c r="K38" s="38">
        <f t="shared" si="6"/>
        <v>337.06538032256856</v>
      </c>
      <c r="L38" s="22">
        <f t="shared" si="72"/>
        <v>329.13190853437351</v>
      </c>
      <c r="M38" s="23">
        <f t="shared" si="4"/>
        <v>439.52824054796787</v>
      </c>
      <c r="T38" s="60">
        <v>281.70999999999998</v>
      </c>
      <c r="U38">
        <v>7.5799999999999999E-3</v>
      </c>
      <c r="V38">
        <v>1.7543859649122806E-2</v>
      </c>
      <c r="W38">
        <v>3.9210560847676823E-2</v>
      </c>
      <c r="Z38">
        <f t="shared" si="10"/>
        <v>6.4200000000000004E-3</v>
      </c>
      <c r="AA38">
        <f t="shared" si="11"/>
        <v>0.99358000000000002</v>
      </c>
      <c r="AB38" s="34">
        <f t="shared" si="15"/>
        <v>0.91922110148372949</v>
      </c>
      <c r="AC38">
        <f t="shared" ref="AC38:CN38" si="75">AB39/AB$3</f>
        <v>0.9137552983637024</v>
      </c>
      <c r="AD38">
        <f t="shared" si="75"/>
        <v>0.90779129197159536</v>
      </c>
      <c r="AE38">
        <f t="shared" si="75"/>
        <v>0.90130252450270232</v>
      </c>
      <c r="AF38">
        <f t="shared" si="75"/>
        <v>0.89423734207970829</v>
      </c>
      <c r="AG38">
        <f t="shared" si="75"/>
        <v>0.88656467431011698</v>
      </c>
      <c r="AH38">
        <f t="shared" si="75"/>
        <v>0.87822078682887483</v>
      </c>
      <c r="AI38">
        <f t="shared" si="75"/>
        <v>0.86915481673464923</v>
      </c>
      <c r="AJ38">
        <f t="shared" si="75"/>
        <v>0.85932899050482947</v>
      </c>
      <c r="AK38">
        <f t="shared" si="75"/>
        <v>0.84868429476520679</v>
      </c>
      <c r="AL38">
        <f t="shared" si="75"/>
        <v>0.83716780850119299</v>
      </c>
      <c r="AM38">
        <f t="shared" si="75"/>
        <v>0.82471681652723028</v>
      </c>
      <c r="AN38">
        <f t="shared" si="75"/>
        <v>0.81127703587548272</v>
      </c>
      <c r="AO38">
        <f t="shared" si="75"/>
        <v>0.79679546041790372</v>
      </c>
      <c r="AP38">
        <f t="shared" si="75"/>
        <v>0.7815254299054919</v>
      </c>
      <c r="AQ38">
        <f t="shared" si="75"/>
        <v>0.76447140339177422</v>
      </c>
      <c r="AR38">
        <f t="shared" si="75"/>
        <v>0.74652376365443274</v>
      </c>
      <c r="AS38">
        <f t="shared" si="75"/>
        <v>0.72733436380101035</v>
      </c>
      <c r="AT38">
        <f t="shared" si="75"/>
        <v>0.70685685279675048</v>
      </c>
      <c r="AU38">
        <f t="shared" si="75"/>
        <v>0.68506805780141167</v>
      </c>
      <c r="AV38">
        <f t="shared" si="75"/>
        <v>0.66194855627183957</v>
      </c>
      <c r="AW38">
        <f t="shared" si="75"/>
        <v>0.63749438887341714</v>
      </c>
      <c r="AX38">
        <f t="shared" si="75"/>
        <v>0.61171378892619799</v>
      </c>
      <c r="AY38">
        <f t="shared" si="75"/>
        <v>0.58464447188212254</v>
      </c>
      <c r="AZ38">
        <f t="shared" si="75"/>
        <v>0.5563380018569235</v>
      </c>
      <c r="BA38">
        <f t="shared" si="75"/>
        <v>0.52687630598727608</v>
      </c>
      <c r="BB38">
        <f t="shared" si="75"/>
        <v>0.49636403156022163</v>
      </c>
      <c r="BC38">
        <f t="shared" si="75"/>
        <v>0.46492782568270197</v>
      </c>
      <c r="BD38">
        <f t="shared" si="75"/>
        <v>0.43274432337239777</v>
      </c>
      <c r="BE38">
        <f t="shared" si="75"/>
        <v>0.40001100969445436</v>
      </c>
      <c r="BF38">
        <f t="shared" si="75"/>
        <v>0.36695763348365323</v>
      </c>
      <c r="BG38">
        <f t="shared" si="75"/>
        <v>0.33384920141867963</v>
      </c>
      <c r="BH38">
        <f t="shared" si="75"/>
        <v>0.30096761880748363</v>
      </c>
      <c r="BI38">
        <f t="shared" si="75"/>
        <v>0.26862291192135263</v>
      </c>
      <c r="BJ38">
        <f t="shared" si="75"/>
        <v>0.23714074621976211</v>
      </c>
      <c r="BK38">
        <f t="shared" si="75"/>
        <v>0.20684537985487148</v>
      </c>
      <c r="BL38">
        <f t="shared" si="75"/>
        <v>0.17805725501290512</v>
      </c>
      <c r="BM38">
        <f t="shared" si="75"/>
        <v>0.15107490541710955</v>
      </c>
      <c r="BN38">
        <f t="shared" si="75"/>
        <v>0.12616551840636236</v>
      </c>
      <c r="BO38">
        <f t="shared" si="75"/>
        <v>0.10354834331235038</v>
      </c>
      <c r="BP38">
        <f t="shared" si="75"/>
        <v>8.3380442501722066E-2</v>
      </c>
      <c r="BQ38">
        <f t="shared" si="75"/>
        <v>6.5752222123280676E-2</v>
      </c>
      <c r="BR38">
        <f t="shared" si="75"/>
        <v>5.067578544215403E-2</v>
      </c>
      <c r="BS38">
        <f t="shared" si="75"/>
        <v>3.8086952180538418E-2</v>
      </c>
      <c r="BT38">
        <f t="shared" si="75"/>
        <v>2.7847777757629227E-2</v>
      </c>
      <c r="BU38">
        <f t="shared" si="75"/>
        <v>1.9755142194964735E-2</v>
      </c>
      <c r="BV38">
        <f t="shared" si="75"/>
        <v>1.3552251916768815E-2</v>
      </c>
      <c r="BW38">
        <f t="shared" si="75"/>
        <v>8.972647942272368E-3</v>
      </c>
      <c r="BX38">
        <f t="shared" si="75"/>
        <v>5.706418480771234E-3</v>
      </c>
      <c r="BY38">
        <f t="shared" si="75"/>
        <v>3.4740590720100371E-3</v>
      </c>
      <c r="BZ38">
        <f t="shared" si="75"/>
        <v>2.0161530903555869E-3</v>
      </c>
      <c r="CA38">
        <f t="shared" si="75"/>
        <v>1.1102167350431425E-3</v>
      </c>
      <c r="CB38">
        <f t="shared" si="75"/>
        <v>5.7715741426522154E-4</v>
      </c>
      <c r="CC38">
        <f t="shared" si="75"/>
        <v>2.8168560696223866E-4</v>
      </c>
      <c r="CD38">
        <f t="shared" si="75"/>
        <v>1.2828811101653288E-4</v>
      </c>
      <c r="CE38">
        <f t="shared" si="75"/>
        <v>5.4155737551059654E-5</v>
      </c>
      <c r="CF38">
        <f t="shared" si="75"/>
        <v>2.1036166954169338E-5</v>
      </c>
      <c r="CG38">
        <f t="shared" si="75"/>
        <v>7.4588509687210257E-6</v>
      </c>
      <c r="CH38">
        <f t="shared" si="75"/>
        <v>2.3937289967292215E-6</v>
      </c>
      <c r="CI38">
        <f t="shared" si="75"/>
        <v>6.8819419908538871E-7</v>
      </c>
      <c r="CJ38">
        <f t="shared" si="75"/>
        <v>0</v>
      </c>
      <c r="CK38">
        <f t="shared" si="75"/>
        <v>0</v>
      </c>
      <c r="CL38">
        <f t="shared" si="75"/>
        <v>0</v>
      </c>
      <c r="CM38">
        <f t="shared" si="75"/>
        <v>0</v>
      </c>
      <c r="CN38">
        <f t="shared" si="75"/>
        <v>0</v>
      </c>
      <c r="CO38">
        <f t="shared" ref="CO38:DN38" si="76">CN39/CN$3</f>
        <v>0</v>
      </c>
      <c r="CP38">
        <f t="shared" si="76"/>
        <v>0</v>
      </c>
      <c r="CQ38">
        <f t="shared" si="76"/>
        <v>0</v>
      </c>
      <c r="CR38">
        <f t="shared" si="76"/>
        <v>0</v>
      </c>
      <c r="CS38">
        <f t="shared" si="76"/>
        <v>0</v>
      </c>
      <c r="CT38">
        <f t="shared" si="76"/>
        <v>0</v>
      </c>
      <c r="CU38">
        <f t="shared" si="76"/>
        <v>0</v>
      </c>
      <c r="CV38">
        <f t="shared" si="76"/>
        <v>0</v>
      </c>
      <c r="CW38">
        <f t="shared" si="76"/>
        <v>0</v>
      </c>
      <c r="CX38">
        <f t="shared" si="76"/>
        <v>0</v>
      </c>
      <c r="CY38">
        <f t="shared" si="76"/>
        <v>0</v>
      </c>
      <c r="CZ38">
        <f t="shared" si="76"/>
        <v>0</v>
      </c>
      <c r="DA38">
        <f t="shared" si="76"/>
        <v>0</v>
      </c>
      <c r="DB38">
        <f t="shared" si="76"/>
        <v>0</v>
      </c>
      <c r="DC38">
        <f t="shared" si="76"/>
        <v>0</v>
      </c>
      <c r="DD38">
        <f t="shared" si="76"/>
        <v>0</v>
      </c>
      <c r="DE38">
        <f t="shared" si="76"/>
        <v>0</v>
      </c>
      <c r="DF38">
        <f t="shared" si="76"/>
        <v>0</v>
      </c>
      <c r="DG38">
        <f t="shared" si="76"/>
        <v>0</v>
      </c>
      <c r="DH38">
        <f t="shared" si="76"/>
        <v>0</v>
      </c>
      <c r="DI38">
        <f t="shared" si="76"/>
        <v>0</v>
      </c>
      <c r="DJ38">
        <f t="shared" si="76"/>
        <v>0</v>
      </c>
      <c r="DK38">
        <f t="shared" si="76"/>
        <v>0</v>
      </c>
      <c r="DL38">
        <f t="shared" si="76"/>
        <v>0</v>
      </c>
      <c r="DM38">
        <f t="shared" si="76"/>
        <v>0</v>
      </c>
      <c r="DN38">
        <f t="shared" si="76"/>
        <v>0</v>
      </c>
    </row>
    <row r="39" spans="1:118" x14ac:dyDescent="0.2">
      <c r="A39">
        <v>35</v>
      </c>
      <c r="B39">
        <v>54</v>
      </c>
      <c r="C39">
        <f t="shared" si="2"/>
        <v>0.18129028535257702</v>
      </c>
      <c r="D39">
        <f t="shared" si="3"/>
        <v>3.28661675632188E-2</v>
      </c>
      <c r="E39">
        <v>8.2400000000000008E-3</v>
      </c>
      <c r="F39">
        <f t="shared" si="0"/>
        <v>0.99175999999999997</v>
      </c>
      <c r="G39" s="34">
        <f t="shared" si="5"/>
        <v>0.89843042450369259</v>
      </c>
      <c r="H39" s="34"/>
      <c r="I39">
        <v>348.98394766197464</v>
      </c>
      <c r="J39">
        <v>54</v>
      </c>
      <c r="K39" s="38">
        <f t="shared" si="6"/>
        <v>348.98394766197475</v>
      </c>
      <c r="L39" s="22">
        <f t="shared" si="72"/>
        <v>333.90258438896888</v>
      </c>
      <c r="M39" s="23">
        <f t="shared" si="4"/>
        <v>439.52824054796787</v>
      </c>
      <c r="T39" s="60">
        <v>293.26</v>
      </c>
      <c r="U39">
        <v>8.2400000000000008E-3</v>
      </c>
      <c r="V39">
        <v>1.7857142857142856E-2</v>
      </c>
      <c r="W39">
        <v>3.9210560847676823E-2</v>
      </c>
      <c r="Z39">
        <f t="shared" si="10"/>
        <v>6.9699999999999996E-3</v>
      </c>
      <c r="AA39">
        <f t="shared" si="11"/>
        <v>0.99302999999999997</v>
      </c>
      <c r="AB39" s="34">
        <f t="shared" si="15"/>
        <v>0.91281413040638781</v>
      </c>
      <c r="AC39">
        <f t="shared" ref="AC39:CN39" si="77">AB40/AB$3</f>
        <v>0.90682903320210551</v>
      </c>
      <c r="AD39">
        <f t="shared" si="77"/>
        <v>0.9003110917257493</v>
      </c>
      <c r="AE39">
        <f t="shared" si="77"/>
        <v>0.89322685388315826</v>
      </c>
      <c r="AF39">
        <f t="shared" si="77"/>
        <v>0.88551852799443109</v>
      </c>
      <c r="AG39">
        <f t="shared" si="77"/>
        <v>0.87714935746894362</v>
      </c>
      <c r="AH39">
        <f t="shared" si="77"/>
        <v>0.86805099011739628</v>
      </c>
      <c r="AI39">
        <f t="shared" si="77"/>
        <v>0.85818608294745802</v>
      </c>
      <c r="AJ39">
        <f t="shared" si="77"/>
        <v>0.84750462359548318</v>
      </c>
      <c r="AK39">
        <f t="shared" si="77"/>
        <v>0.83594554350078121</v>
      </c>
      <c r="AL39">
        <f t="shared" si="77"/>
        <v>0.82345499979794357</v>
      </c>
      <c r="AM39">
        <f t="shared" si="77"/>
        <v>0.8099708798477232</v>
      </c>
      <c r="AN39">
        <f t="shared" si="77"/>
        <v>0.7954409081351933</v>
      </c>
      <c r="AO39">
        <f t="shared" si="77"/>
        <v>0.78012649938596113</v>
      </c>
      <c r="AP39">
        <f t="shared" si="77"/>
        <v>0.76301890772532988</v>
      </c>
      <c r="AQ39">
        <f t="shared" si="77"/>
        <v>0.7450232508894874</v>
      </c>
      <c r="AR39">
        <f t="shared" si="77"/>
        <v>0.72577786826247614</v>
      </c>
      <c r="AS39">
        <f t="shared" si="77"/>
        <v>0.70524521917237393</v>
      </c>
      <c r="AT39">
        <f t="shared" si="77"/>
        <v>0.68340334242095424</v>
      </c>
      <c r="AU39">
        <f t="shared" si="77"/>
        <v>0.66022749002553272</v>
      </c>
      <c r="AV39">
        <f t="shared" si="77"/>
        <v>0.63572215447234903</v>
      </c>
      <c r="AW39">
        <f t="shared" si="77"/>
        <v>0.60989088183519791</v>
      </c>
      <c r="AX39">
        <f t="shared" si="77"/>
        <v>0.58277360957209978</v>
      </c>
      <c r="AY39">
        <f t="shared" si="77"/>
        <v>0.55442419913053564</v>
      </c>
      <c r="AZ39">
        <f t="shared" si="77"/>
        <v>0.52492159489206325</v>
      </c>
      <c r="BA39">
        <f t="shared" si="77"/>
        <v>0.49437857543398073</v>
      </c>
      <c r="BB39">
        <f t="shared" si="77"/>
        <v>0.46292398675400953</v>
      </c>
      <c r="BC39">
        <f t="shared" si="77"/>
        <v>0.43072773482548238</v>
      </c>
      <c r="BD39">
        <f t="shared" si="77"/>
        <v>0.39799495420559428</v>
      </c>
      <c r="BE39">
        <f t="shared" si="77"/>
        <v>0.36495404480483246</v>
      </c>
      <c r="BF39">
        <f t="shared" si="77"/>
        <v>0.33187281414628106</v>
      </c>
      <c r="BG39">
        <f t="shared" si="77"/>
        <v>0.2990354066947396</v>
      </c>
      <c r="BH39">
        <f t="shared" si="77"/>
        <v>0.26675061022526081</v>
      </c>
      <c r="BI39">
        <f t="shared" si="77"/>
        <v>0.23534321936341632</v>
      </c>
      <c r="BJ39">
        <f t="shared" si="77"/>
        <v>0.20514097392486733</v>
      </c>
      <c r="BK39">
        <f t="shared" si="77"/>
        <v>0.1764618620079895</v>
      </c>
      <c r="BL39">
        <f t="shared" si="77"/>
        <v>0.14960192508929274</v>
      </c>
      <c r="BM39">
        <f t="shared" si="77"/>
        <v>0.12482564060088681</v>
      </c>
      <c r="BN39">
        <f t="shared" si="77"/>
        <v>0.10234925349679336</v>
      </c>
      <c r="BO39">
        <f t="shared" si="77"/>
        <v>8.2328181317350341E-2</v>
      </c>
      <c r="BP39">
        <f t="shared" si="77"/>
        <v>6.4847471546864335E-2</v>
      </c>
      <c r="BQ39">
        <f t="shared" si="77"/>
        <v>4.9915141902667298E-2</v>
      </c>
      <c r="BR39">
        <f t="shared" si="77"/>
        <v>3.7463087903821198E-2</v>
      </c>
      <c r="BS39">
        <f t="shared" si="77"/>
        <v>2.7349859491322816E-2</v>
      </c>
      <c r="BT39">
        <f t="shared" si="77"/>
        <v>1.9369521819319023E-2</v>
      </c>
      <c r="BU39">
        <f t="shared" si="77"/>
        <v>1.3268738806670011E-2</v>
      </c>
      <c r="BV39">
        <f t="shared" si="77"/>
        <v>8.7601756389993589E-3</v>
      </c>
      <c r="BW39">
        <f t="shared" si="77"/>
        <v>5.5612471946204136E-3</v>
      </c>
      <c r="BX39">
        <f t="shared" si="77"/>
        <v>3.3775149703988783E-3</v>
      </c>
      <c r="BY39">
        <f t="shared" si="77"/>
        <v>1.9549225210014876E-3</v>
      </c>
      <c r="BZ39">
        <f t="shared" si="77"/>
        <v>1.0733797437744109E-3</v>
      </c>
      <c r="CA39">
        <f t="shared" si="77"/>
        <v>5.5622968642396464E-4</v>
      </c>
      <c r="CB39">
        <f t="shared" si="77"/>
        <v>2.7052522321439475E-4</v>
      </c>
      <c r="CC39">
        <f t="shared" si="77"/>
        <v>1.2273323580951702E-4</v>
      </c>
      <c r="CD39">
        <f t="shared" si="77"/>
        <v>5.1593629607519026E-5</v>
      </c>
      <c r="CE39">
        <f t="shared" si="77"/>
        <v>1.9948807484308323E-5</v>
      </c>
      <c r="CF39">
        <f t="shared" si="77"/>
        <v>7.0376496545173492E-6</v>
      </c>
      <c r="CG39">
        <f t="shared" si="77"/>
        <v>2.2460837922109633E-6</v>
      </c>
      <c r="CH39">
        <f t="shared" si="77"/>
        <v>6.41830555893006E-7</v>
      </c>
      <c r="CI39">
        <f t="shared" si="77"/>
        <v>0</v>
      </c>
      <c r="CJ39">
        <f t="shared" si="77"/>
        <v>0</v>
      </c>
      <c r="CK39">
        <f t="shared" si="77"/>
        <v>0</v>
      </c>
      <c r="CL39">
        <f t="shared" si="77"/>
        <v>0</v>
      </c>
      <c r="CM39">
        <f t="shared" si="77"/>
        <v>0</v>
      </c>
      <c r="CN39">
        <f t="shared" si="77"/>
        <v>0</v>
      </c>
      <c r="CO39">
        <f t="shared" ref="CO39:DN39" si="78">CN40/CN$3</f>
        <v>0</v>
      </c>
      <c r="CP39">
        <f t="shared" si="78"/>
        <v>0</v>
      </c>
      <c r="CQ39">
        <f t="shared" si="78"/>
        <v>0</v>
      </c>
      <c r="CR39">
        <f t="shared" si="78"/>
        <v>0</v>
      </c>
      <c r="CS39">
        <f t="shared" si="78"/>
        <v>0</v>
      </c>
      <c r="CT39">
        <f t="shared" si="78"/>
        <v>0</v>
      </c>
      <c r="CU39">
        <f t="shared" si="78"/>
        <v>0</v>
      </c>
      <c r="CV39">
        <f t="shared" si="78"/>
        <v>0</v>
      </c>
      <c r="CW39">
        <f t="shared" si="78"/>
        <v>0</v>
      </c>
      <c r="CX39">
        <f t="shared" si="78"/>
        <v>0</v>
      </c>
      <c r="CY39">
        <f t="shared" si="78"/>
        <v>0</v>
      </c>
      <c r="CZ39">
        <f t="shared" si="78"/>
        <v>0</v>
      </c>
      <c r="DA39">
        <f t="shared" si="78"/>
        <v>0</v>
      </c>
      <c r="DB39">
        <f t="shared" si="78"/>
        <v>0</v>
      </c>
      <c r="DC39">
        <f t="shared" si="78"/>
        <v>0</v>
      </c>
      <c r="DD39">
        <f t="shared" si="78"/>
        <v>0</v>
      </c>
      <c r="DE39">
        <f t="shared" si="78"/>
        <v>0</v>
      </c>
      <c r="DF39">
        <f t="shared" si="78"/>
        <v>0</v>
      </c>
      <c r="DG39">
        <f t="shared" si="78"/>
        <v>0</v>
      </c>
      <c r="DH39">
        <f t="shared" si="78"/>
        <v>0</v>
      </c>
      <c r="DI39">
        <f t="shared" si="78"/>
        <v>0</v>
      </c>
      <c r="DJ39">
        <f t="shared" si="78"/>
        <v>0</v>
      </c>
      <c r="DK39">
        <f t="shared" si="78"/>
        <v>0</v>
      </c>
      <c r="DL39">
        <f t="shared" si="78"/>
        <v>0</v>
      </c>
      <c r="DM39">
        <f t="shared" si="78"/>
        <v>0</v>
      </c>
      <c r="DN39">
        <f t="shared" si="78"/>
        <v>0</v>
      </c>
    </row>
    <row r="40" spans="1:118" x14ac:dyDescent="0.2">
      <c r="A40">
        <v>36</v>
      </c>
      <c r="B40">
        <v>55</v>
      </c>
      <c r="C40">
        <f t="shared" si="2"/>
        <v>0.17265741462150191</v>
      </c>
      <c r="D40">
        <f t="shared" si="3"/>
        <v>2.9810582823781222E-2</v>
      </c>
      <c r="E40">
        <v>8.9600000000000009E-3</v>
      </c>
      <c r="F40">
        <f t="shared" si="0"/>
        <v>0.99104000000000003</v>
      </c>
      <c r="G40" s="34">
        <f t="shared" si="5"/>
        <v>0.89038048790013957</v>
      </c>
      <c r="H40" s="34"/>
      <c r="I40">
        <v>361.16917908069837</v>
      </c>
      <c r="J40">
        <v>55</v>
      </c>
      <c r="K40" s="38">
        <f t="shared" si="6"/>
        <v>361.16917908069848</v>
      </c>
      <c r="L40" s="22">
        <f t="shared" si="72"/>
        <v>338.79039931038852</v>
      </c>
      <c r="M40" s="23">
        <f t="shared" si="4"/>
        <v>439.52824054796787</v>
      </c>
      <c r="T40" s="58">
        <v>305.13</v>
      </c>
      <c r="U40">
        <v>8.9600000000000009E-3</v>
      </c>
      <c r="V40">
        <v>1.8181818181818181E-2</v>
      </c>
      <c r="W40">
        <v>3.9210560847676823E-2</v>
      </c>
      <c r="Z40">
        <f t="shared" si="10"/>
        <v>7.5799999999999999E-3</v>
      </c>
      <c r="AA40">
        <f t="shared" si="11"/>
        <v>0.99241999999999997</v>
      </c>
      <c r="AB40" s="34">
        <f t="shared" si="15"/>
        <v>0.9058949992979074</v>
      </c>
      <c r="AC40">
        <f t="shared" ref="AC40:CN40" si="79">AB41/AB$3</f>
        <v>0.8993567619685201</v>
      </c>
      <c r="AD40">
        <f t="shared" si="79"/>
        <v>0.8922443043438868</v>
      </c>
      <c r="AE40">
        <f t="shared" si="79"/>
        <v>0.88451789205779741</v>
      </c>
      <c r="AF40">
        <f t="shared" si="79"/>
        <v>0.87611432122713029</v>
      </c>
      <c r="AG40">
        <f t="shared" si="79"/>
        <v>0.8669919679094531</v>
      </c>
      <c r="AH40">
        <f t="shared" si="79"/>
        <v>0.85709618662211473</v>
      </c>
      <c r="AI40">
        <f t="shared" si="79"/>
        <v>0.84637744244610114</v>
      </c>
      <c r="AJ40">
        <f t="shared" si="79"/>
        <v>0.8347835791953151</v>
      </c>
      <c r="AK40">
        <f t="shared" si="79"/>
        <v>0.82225275549823851</v>
      </c>
      <c r="AL40">
        <f t="shared" si="79"/>
        <v>0.80873162440155621</v>
      </c>
      <c r="AM40">
        <f t="shared" si="79"/>
        <v>0.79416024827309561</v>
      </c>
      <c r="AN40">
        <f t="shared" si="79"/>
        <v>0.77880028433700499</v>
      </c>
      <c r="AO40">
        <f t="shared" si="79"/>
        <v>0.76165310388050156</v>
      </c>
      <c r="AP40">
        <f t="shared" si="79"/>
        <v>0.74360770671279741</v>
      </c>
      <c r="AQ40">
        <f t="shared" si="79"/>
        <v>0.72431905474726865</v>
      </c>
      <c r="AR40">
        <f t="shared" si="79"/>
        <v>0.703735994403345</v>
      </c>
      <c r="AS40">
        <f t="shared" si="79"/>
        <v>0.68184518280023454</v>
      </c>
      <c r="AT40">
        <f t="shared" si="79"/>
        <v>0.65862313722477062</v>
      </c>
      <c r="AU40">
        <f t="shared" si="79"/>
        <v>0.6340692768707209</v>
      </c>
      <c r="AV40">
        <f t="shared" si="79"/>
        <v>0.60819538518369609</v>
      </c>
      <c r="AW40">
        <f t="shared" si="79"/>
        <v>0.58103694421557495</v>
      </c>
      <c r="AX40">
        <f t="shared" si="79"/>
        <v>0.55265004169331799</v>
      </c>
      <c r="AY40">
        <f t="shared" si="79"/>
        <v>0.52311586460563453</v>
      </c>
      <c r="AZ40">
        <f t="shared" si="79"/>
        <v>0.49254443091912065</v>
      </c>
      <c r="BA40">
        <f t="shared" si="79"/>
        <v>0.46107229080699347</v>
      </c>
      <c r="BB40">
        <f t="shared" si="79"/>
        <v>0.42887129828838455</v>
      </c>
      <c r="BC40">
        <f t="shared" si="79"/>
        <v>0.39614029771899623</v>
      </c>
      <c r="BD40">
        <f t="shared" si="79"/>
        <v>0.36311467641901607</v>
      </c>
      <c r="BE40">
        <f t="shared" si="79"/>
        <v>0.33006078858104237</v>
      </c>
      <c r="BF40">
        <f t="shared" si="79"/>
        <v>0.29726511708710673</v>
      </c>
      <c r="BG40">
        <f t="shared" si="79"/>
        <v>0.26503807130761464</v>
      </c>
      <c r="BH40">
        <f t="shared" si="79"/>
        <v>0.23370287712445328</v>
      </c>
      <c r="BI40">
        <f t="shared" si="79"/>
        <v>0.20358600534251683</v>
      </c>
      <c r="BJ40">
        <f t="shared" si="79"/>
        <v>0.17500781626504366</v>
      </c>
      <c r="BK40">
        <f t="shared" si="79"/>
        <v>0.14826149184049267</v>
      </c>
      <c r="BL40">
        <f t="shared" si="79"/>
        <v>0.12360859060502816</v>
      </c>
      <c r="BM40">
        <f t="shared" si="79"/>
        <v>0.10126230442465742</v>
      </c>
      <c r="BN40">
        <f t="shared" si="79"/>
        <v>8.1374820977695425E-2</v>
      </c>
      <c r="BO40">
        <f t="shared" si="79"/>
        <v>6.4029096455942916E-2</v>
      </c>
      <c r="BP40">
        <f t="shared" si="79"/>
        <v>4.9228309550086599E-2</v>
      </c>
      <c r="BQ40">
        <f t="shared" si="79"/>
        <v>3.6900766954384843E-2</v>
      </c>
      <c r="BR40">
        <f t="shared" si="79"/>
        <v>2.6901868792854951E-2</v>
      </c>
      <c r="BS40">
        <f t="shared" si="79"/>
        <v>1.9023194769189598E-2</v>
      </c>
      <c r="BT40">
        <f t="shared" si="79"/>
        <v>1.3009733025163813E-2</v>
      </c>
      <c r="BU40">
        <f t="shared" si="79"/>
        <v>8.5769127646314926E-3</v>
      </c>
      <c r="BV40">
        <f t="shared" si="79"/>
        <v>5.4295568610518022E-3</v>
      </c>
      <c r="BW40">
        <f t="shared" si="79"/>
        <v>3.2915909895519309E-3</v>
      </c>
      <c r="BX40">
        <f t="shared" si="79"/>
        <v>1.9005952241428561E-3</v>
      </c>
      <c r="BY40">
        <f t="shared" si="79"/>
        <v>1.0407812009559821E-3</v>
      </c>
      <c r="BZ40">
        <f t="shared" si="79"/>
        <v>5.3777398542841754E-4</v>
      </c>
      <c r="CA40">
        <f t="shared" si="79"/>
        <v>2.6071597862064081E-4</v>
      </c>
      <c r="CB40">
        <f t="shared" si="79"/>
        <v>1.1787054500674397E-4</v>
      </c>
      <c r="CC40">
        <f t="shared" si="79"/>
        <v>4.9359625445513454E-5</v>
      </c>
      <c r="CD40">
        <f t="shared" si="79"/>
        <v>1.9005029402225699E-5</v>
      </c>
      <c r="CE40">
        <f t="shared" si="79"/>
        <v>6.6738735438753476E-6</v>
      </c>
      <c r="CF40">
        <f t="shared" si="79"/>
        <v>2.1192474404648103E-6</v>
      </c>
      <c r="CG40">
        <f t="shared" si="79"/>
        <v>6.0224244720552541E-7</v>
      </c>
      <c r="CH40">
        <f t="shared" si="79"/>
        <v>0</v>
      </c>
      <c r="CI40">
        <f t="shared" si="79"/>
        <v>0</v>
      </c>
      <c r="CJ40">
        <f t="shared" si="79"/>
        <v>0</v>
      </c>
      <c r="CK40">
        <f t="shared" si="79"/>
        <v>0</v>
      </c>
      <c r="CL40">
        <f t="shared" si="79"/>
        <v>0</v>
      </c>
      <c r="CM40">
        <f t="shared" si="79"/>
        <v>0</v>
      </c>
      <c r="CN40">
        <f t="shared" si="79"/>
        <v>0</v>
      </c>
      <c r="CO40">
        <f t="shared" ref="CO40:DN40" si="80">CN41/CN$3</f>
        <v>0</v>
      </c>
      <c r="CP40">
        <f t="shared" si="80"/>
        <v>0</v>
      </c>
      <c r="CQ40">
        <f t="shared" si="80"/>
        <v>0</v>
      </c>
      <c r="CR40">
        <f t="shared" si="80"/>
        <v>0</v>
      </c>
      <c r="CS40">
        <f t="shared" si="80"/>
        <v>0</v>
      </c>
      <c r="CT40">
        <f t="shared" si="80"/>
        <v>0</v>
      </c>
      <c r="CU40">
        <f t="shared" si="80"/>
        <v>0</v>
      </c>
      <c r="CV40">
        <f t="shared" si="80"/>
        <v>0</v>
      </c>
      <c r="CW40">
        <f t="shared" si="80"/>
        <v>0</v>
      </c>
      <c r="CX40">
        <f t="shared" si="80"/>
        <v>0</v>
      </c>
      <c r="CY40">
        <f t="shared" si="80"/>
        <v>0</v>
      </c>
      <c r="CZ40">
        <f t="shared" si="80"/>
        <v>0</v>
      </c>
      <c r="DA40">
        <f t="shared" si="80"/>
        <v>0</v>
      </c>
      <c r="DB40">
        <f t="shared" si="80"/>
        <v>0</v>
      </c>
      <c r="DC40">
        <f t="shared" si="80"/>
        <v>0</v>
      </c>
      <c r="DD40">
        <f t="shared" si="80"/>
        <v>0</v>
      </c>
      <c r="DE40">
        <f t="shared" si="80"/>
        <v>0</v>
      </c>
      <c r="DF40">
        <f t="shared" si="80"/>
        <v>0</v>
      </c>
      <c r="DG40">
        <f t="shared" si="80"/>
        <v>0</v>
      </c>
      <c r="DH40">
        <f t="shared" si="80"/>
        <v>0</v>
      </c>
      <c r="DI40">
        <f t="shared" si="80"/>
        <v>0</v>
      </c>
      <c r="DJ40">
        <f t="shared" si="80"/>
        <v>0</v>
      </c>
      <c r="DK40">
        <f t="shared" si="80"/>
        <v>0</v>
      </c>
      <c r="DL40">
        <f t="shared" si="80"/>
        <v>0</v>
      </c>
      <c r="DM40">
        <f t="shared" si="80"/>
        <v>0</v>
      </c>
      <c r="DN40">
        <f t="shared" si="80"/>
        <v>0</v>
      </c>
    </row>
    <row r="41" spans="1:118" x14ac:dyDescent="0.2">
      <c r="A41">
        <v>37</v>
      </c>
      <c r="B41">
        <v>56</v>
      </c>
      <c r="C41">
        <f t="shared" si="2"/>
        <v>0.16443563297285896</v>
      </c>
      <c r="D41">
        <f t="shared" si="3"/>
        <v>2.7039077391184781E-2</v>
      </c>
      <c r="E41">
        <v>9.75E-3</v>
      </c>
      <c r="F41">
        <f t="shared" si="0"/>
        <v>0.99024999999999996</v>
      </c>
      <c r="G41" s="34">
        <f t="shared" si="5"/>
        <v>0.88169927814311322</v>
      </c>
      <c r="H41" s="34"/>
      <c r="I41">
        <v>373.61523050001364</v>
      </c>
      <c r="J41">
        <v>56</v>
      </c>
      <c r="K41" s="38">
        <f t="shared" si="6"/>
        <v>373.61523050001352</v>
      </c>
      <c r="L41" s="22">
        <f t="shared" si="72"/>
        <v>343.79899185509146</v>
      </c>
      <c r="M41" s="23">
        <f t="shared" si="4"/>
        <v>439.52824054796787</v>
      </c>
      <c r="T41" s="59">
        <v>317.32</v>
      </c>
      <c r="U41">
        <v>9.75E-3</v>
      </c>
      <c r="V41">
        <v>1.8518518518518517E-2</v>
      </c>
      <c r="W41">
        <v>3.9210560847676823E-2</v>
      </c>
      <c r="Z41">
        <f t="shared" si="10"/>
        <v>8.2400000000000008E-3</v>
      </c>
      <c r="AA41">
        <f t="shared" si="11"/>
        <v>0.99175999999999997</v>
      </c>
      <c r="AB41" s="34">
        <f t="shared" si="15"/>
        <v>0.89843042450369259</v>
      </c>
      <c r="AC41">
        <f t="shared" ref="AC41:CN41" si="81">AB42/AB$3</f>
        <v>0.89129852538128229</v>
      </c>
      <c r="AD41">
        <f t="shared" si="81"/>
        <v>0.88354492237653381</v>
      </c>
      <c r="AE41">
        <f t="shared" si="81"/>
        <v>0.87512431204414365</v>
      </c>
      <c r="AF41">
        <f t="shared" si="81"/>
        <v>0.86596891738731996</v>
      </c>
      <c r="AG41">
        <f t="shared" si="81"/>
        <v>0.8560505292744357</v>
      </c>
      <c r="AH41">
        <f t="shared" si="81"/>
        <v>0.84530254309419461</v>
      </c>
      <c r="AI41">
        <f t="shared" si="81"/>
        <v>0.83367331703498526</v>
      </c>
      <c r="AJ41">
        <f t="shared" si="81"/>
        <v>0.82110982416809597</v>
      </c>
      <c r="AK41">
        <f t="shared" si="81"/>
        <v>0.80755087622992994</v>
      </c>
      <c r="AL41">
        <f t="shared" si="81"/>
        <v>0.7929451830932378</v>
      </c>
      <c r="AM41">
        <f t="shared" si="81"/>
        <v>0.77754641587922246</v>
      </c>
      <c r="AN41">
        <f t="shared" si="81"/>
        <v>0.76035829360390472</v>
      </c>
      <c r="AO41">
        <f t="shared" si="81"/>
        <v>0.74227664891778156</v>
      </c>
      <c r="AP41">
        <f t="shared" si="81"/>
        <v>0.72294284854324886</v>
      </c>
      <c r="AQ41">
        <f t="shared" si="81"/>
        <v>0.70232148505459435</v>
      </c>
      <c r="AR41">
        <f t="shared" si="81"/>
        <v>0.68038603410904197</v>
      </c>
      <c r="AS41">
        <f t="shared" si="81"/>
        <v>0.65712147647189822</v>
      </c>
      <c r="AT41">
        <f t="shared" si="81"/>
        <v>0.63252848852792498</v>
      </c>
      <c r="AU41">
        <f t="shared" si="81"/>
        <v>0.60661407718221849</v>
      </c>
      <c r="AV41">
        <f t="shared" si="81"/>
        <v>0.57942166151065566</v>
      </c>
      <c r="AW41">
        <f t="shared" si="81"/>
        <v>0.55100314456907196</v>
      </c>
      <c r="AX41">
        <f t="shared" si="81"/>
        <v>0.5214418938388965</v>
      </c>
      <c r="AY41">
        <f t="shared" si="81"/>
        <v>0.49085007807675884</v>
      </c>
      <c r="AZ41">
        <f t="shared" si="81"/>
        <v>0.45936171260809955</v>
      </c>
      <c r="BA41">
        <f t="shared" si="81"/>
        <v>0.42715581309523099</v>
      </c>
      <c r="BB41">
        <f t="shared" si="81"/>
        <v>0.39443293303582733</v>
      </c>
      <c r="BC41">
        <f t="shared" si="81"/>
        <v>0.36142256202690348</v>
      </c>
      <c r="BD41">
        <f t="shared" si="81"/>
        <v>0.32839728220659392</v>
      </c>
      <c r="BE41">
        <f t="shared" si="81"/>
        <v>0.29564204954781115</v>
      </c>
      <c r="BF41">
        <f t="shared" si="81"/>
        <v>0.26346904592547354</v>
      </c>
      <c r="BG41">
        <f t="shared" si="81"/>
        <v>0.2322025046533143</v>
      </c>
      <c r="BH41">
        <f t="shared" si="81"/>
        <v>0.2021670108852795</v>
      </c>
      <c r="BI41">
        <f t="shared" si="81"/>
        <v>0.17368125701775464</v>
      </c>
      <c r="BJ41">
        <f t="shared" si="81"/>
        <v>0.14703981714772701</v>
      </c>
      <c r="BK41">
        <f t="shared" si="81"/>
        <v>0.12250105763320711</v>
      </c>
      <c r="BL41">
        <f t="shared" si="81"/>
        <v>0.10027499695651701</v>
      </c>
      <c r="BM41">
        <f t="shared" si="81"/>
        <v>8.0510620378912309E-2</v>
      </c>
      <c r="BN41">
        <f t="shared" si="81"/>
        <v>6.3287639518983099E-2</v>
      </c>
      <c r="BO41">
        <f t="shared" si="81"/>
        <v>4.8607048283564505E-2</v>
      </c>
      <c r="BP41">
        <f t="shared" si="81"/>
        <v>3.6393012401092509E-2</v>
      </c>
      <c r="BQ41">
        <f t="shared" si="81"/>
        <v>2.6498071742274198E-2</v>
      </c>
      <c r="BR41">
        <f t="shared" si="81"/>
        <v>1.8711594838870273E-2</v>
      </c>
      <c r="BS41">
        <f t="shared" si="81"/>
        <v>1.2777118998673884E-2</v>
      </c>
      <c r="BT41">
        <f t="shared" si="81"/>
        <v>8.4094914274658854E-3</v>
      </c>
      <c r="BU41">
        <f t="shared" si="81"/>
        <v>5.315970531518598E-3</v>
      </c>
      <c r="BV41">
        <f t="shared" si="81"/>
        <v>3.2136461149193411E-3</v>
      </c>
      <c r="BW41">
        <f t="shared" si="81"/>
        <v>1.8522440816406617E-3</v>
      </c>
      <c r="BX41">
        <f t="shared" si="81"/>
        <v>1.0118578913814154E-3</v>
      </c>
      <c r="BY41">
        <f t="shared" si="81"/>
        <v>5.2144178949095653E-4</v>
      </c>
      <c r="BZ41">
        <f t="shared" si="81"/>
        <v>2.5206542245000797E-4</v>
      </c>
      <c r="CA41">
        <f t="shared" si="81"/>
        <v>1.1359655904479944E-4</v>
      </c>
      <c r="CB41">
        <f t="shared" si="81"/>
        <v>4.7403997085362212E-5</v>
      </c>
      <c r="CC41">
        <f t="shared" si="81"/>
        <v>1.8182111629109327E-5</v>
      </c>
      <c r="CD41">
        <f t="shared" si="81"/>
        <v>6.3581325865146051E-6</v>
      </c>
      <c r="CE41">
        <f t="shared" si="81"/>
        <v>2.0097035402671844E-6</v>
      </c>
      <c r="CF41">
        <f t="shared" si="81"/>
        <v>5.6823381621182936E-7</v>
      </c>
      <c r="CG41">
        <f t="shared" si="81"/>
        <v>0</v>
      </c>
      <c r="CH41">
        <f t="shared" si="81"/>
        <v>0</v>
      </c>
      <c r="CI41">
        <f t="shared" si="81"/>
        <v>0</v>
      </c>
      <c r="CJ41">
        <f t="shared" si="81"/>
        <v>0</v>
      </c>
      <c r="CK41">
        <f t="shared" si="81"/>
        <v>0</v>
      </c>
      <c r="CL41">
        <f t="shared" si="81"/>
        <v>0</v>
      </c>
      <c r="CM41">
        <f t="shared" si="81"/>
        <v>0</v>
      </c>
      <c r="CN41">
        <f t="shared" si="81"/>
        <v>0</v>
      </c>
      <c r="CO41">
        <f t="shared" ref="CO41:DN41" si="82">CN42/CN$3</f>
        <v>0</v>
      </c>
      <c r="CP41">
        <f t="shared" si="82"/>
        <v>0</v>
      </c>
      <c r="CQ41">
        <f t="shared" si="82"/>
        <v>0</v>
      </c>
      <c r="CR41">
        <f t="shared" si="82"/>
        <v>0</v>
      </c>
      <c r="CS41">
        <f t="shared" si="82"/>
        <v>0</v>
      </c>
      <c r="CT41">
        <f t="shared" si="82"/>
        <v>0</v>
      </c>
      <c r="CU41">
        <f t="shared" si="82"/>
        <v>0</v>
      </c>
      <c r="CV41">
        <f t="shared" si="82"/>
        <v>0</v>
      </c>
      <c r="CW41">
        <f t="shared" si="82"/>
        <v>0</v>
      </c>
      <c r="CX41">
        <f t="shared" si="82"/>
        <v>0</v>
      </c>
      <c r="CY41">
        <f t="shared" si="82"/>
        <v>0</v>
      </c>
      <c r="CZ41">
        <f t="shared" si="82"/>
        <v>0</v>
      </c>
      <c r="DA41">
        <f t="shared" si="82"/>
        <v>0</v>
      </c>
      <c r="DB41">
        <f t="shared" si="82"/>
        <v>0</v>
      </c>
      <c r="DC41">
        <f t="shared" si="82"/>
        <v>0</v>
      </c>
      <c r="DD41">
        <f t="shared" si="82"/>
        <v>0</v>
      </c>
      <c r="DE41">
        <f t="shared" si="82"/>
        <v>0</v>
      </c>
      <c r="DF41">
        <f t="shared" si="82"/>
        <v>0</v>
      </c>
      <c r="DG41">
        <f t="shared" si="82"/>
        <v>0</v>
      </c>
      <c r="DH41">
        <f t="shared" si="82"/>
        <v>0</v>
      </c>
      <c r="DI41">
        <f t="shared" si="82"/>
        <v>0</v>
      </c>
      <c r="DJ41">
        <f t="shared" si="82"/>
        <v>0</v>
      </c>
      <c r="DK41">
        <f t="shared" si="82"/>
        <v>0</v>
      </c>
      <c r="DL41">
        <f t="shared" si="82"/>
        <v>0</v>
      </c>
      <c r="DM41">
        <f t="shared" si="82"/>
        <v>0</v>
      </c>
      <c r="DN41">
        <f t="shared" si="82"/>
        <v>0</v>
      </c>
    </row>
    <row r="42" spans="1:118" x14ac:dyDescent="0.2">
      <c r="A42">
        <v>38</v>
      </c>
      <c r="B42">
        <v>57</v>
      </c>
      <c r="C42">
        <f t="shared" si="2"/>
        <v>0.15660536473605616</v>
      </c>
      <c r="D42">
        <f t="shared" si="3"/>
        <v>2.4525240264113183E-2</v>
      </c>
      <c r="E42">
        <v>1.0619999999999999E-2</v>
      </c>
      <c r="F42">
        <f t="shared" si="0"/>
        <v>0.98938000000000004</v>
      </c>
      <c r="G42" s="34">
        <f t="shared" si="5"/>
        <v>0.87233563180923335</v>
      </c>
      <c r="H42" s="34"/>
      <c r="I42">
        <v>386.31253928302351</v>
      </c>
      <c r="J42">
        <v>57</v>
      </c>
      <c r="K42" s="38">
        <f t="shared" si="6"/>
        <v>386.3125392830238</v>
      </c>
      <c r="L42" s="22">
        <f t="shared" si="72"/>
        <v>348.9321290223337</v>
      </c>
      <c r="M42" s="23">
        <f t="shared" si="4"/>
        <v>439.52824054796787</v>
      </c>
      <c r="T42" s="60">
        <v>329.83</v>
      </c>
      <c r="U42">
        <v>1.0619999999999999E-2</v>
      </c>
      <c r="V42">
        <v>1.8867924528301886E-2</v>
      </c>
      <c r="W42">
        <v>3.9210560847676823E-2</v>
      </c>
      <c r="Z42">
        <f t="shared" si="10"/>
        <v>8.9600000000000009E-3</v>
      </c>
      <c r="AA42">
        <f t="shared" si="11"/>
        <v>0.99104000000000003</v>
      </c>
      <c r="AB42" s="34">
        <f t="shared" si="15"/>
        <v>0.89038048790013957</v>
      </c>
      <c r="AC42">
        <f t="shared" ref="AC42:CN42" si="83">AB43/AB$3</f>
        <v>0.88260836475881477</v>
      </c>
      <c r="AD42">
        <f t="shared" si="83"/>
        <v>0.87416167530089506</v>
      </c>
      <c r="AE42">
        <f t="shared" si="83"/>
        <v>0.86499037251067235</v>
      </c>
      <c r="AF42">
        <f t="shared" si="83"/>
        <v>0.85504038964989193</v>
      </c>
      <c r="AG42">
        <f t="shared" si="83"/>
        <v>0.84427127399161972</v>
      </c>
      <c r="AH42">
        <f t="shared" si="83"/>
        <v>0.83261455192235079</v>
      </c>
      <c r="AI42">
        <f t="shared" si="83"/>
        <v>0.82001774810195238</v>
      </c>
      <c r="AJ42">
        <f t="shared" si="83"/>
        <v>0.8064283805119703</v>
      </c>
      <c r="AK42">
        <f t="shared" si="83"/>
        <v>0.79178748312592162</v>
      </c>
      <c r="AL42">
        <f t="shared" si="83"/>
        <v>0.77635676986292723</v>
      </c>
      <c r="AM42">
        <f t="shared" si="83"/>
        <v>0.75913411675120246</v>
      </c>
      <c r="AN42">
        <f t="shared" si="83"/>
        <v>0.74101477861462128</v>
      </c>
      <c r="AO42">
        <f t="shared" si="83"/>
        <v>0.72164878084435646</v>
      </c>
      <c r="AP42">
        <f t="shared" si="83"/>
        <v>0.70098707423299056</v>
      </c>
      <c r="AQ42">
        <f t="shared" si="83"/>
        <v>0.67901845818048279</v>
      </c>
      <c r="AR42">
        <f t="shared" si="83"/>
        <v>0.65571523651224839</v>
      </c>
      <c r="AS42">
        <f t="shared" si="83"/>
        <v>0.63108632357408134</v>
      </c>
      <c r="AT42">
        <f t="shared" si="83"/>
        <v>0.60514000497466569</v>
      </c>
      <c r="AU42">
        <f t="shared" si="83"/>
        <v>0.57791516519072794</v>
      </c>
      <c r="AV42">
        <f t="shared" si="83"/>
        <v>0.54947135582716988</v>
      </c>
      <c r="AW42">
        <f t="shared" si="83"/>
        <v>0.51988799699525656</v>
      </c>
      <c r="AX42">
        <f t="shared" si="83"/>
        <v>0.48927935782691323</v>
      </c>
      <c r="AY42">
        <f t="shared" si="83"/>
        <v>0.4577815083167277</v>
      </c>
      <c r="AZ42">
        <f t="shared" si="83"/>
        <v>0.42557106502864767</v>
      </c>
      <c r="BA42">
        <f t="shared" si="83"/>
        <v>0.39285520130368401</v>
      </c>
      <c r="BB42">
        <f t="shared" si="83"/>
        <v>0.35986483078456749</v>
      </c>
      <c r="BC42">
        <f t="shared" si="83"/>
        <v>0.32686695087151119</v>
      </c>
      <c r="BD42">
        <f t="shared" si="83"/>
        <v>0.29415201361809018</v>
      </c>
      <c r="BE42">
        <f t="shared" si="83"/>
        <v>0.26203050493472047</v>
      </c>
      <c r="BF42">
        <f t="shared" si="83"/>
        <v>0.23082786582576667</v>
      </c>
      <c r="BG42">
        <f t="shared" si="83"/>
        <v>0.20086909867539601</v>
      </c>
      <c r="BH42">
        <f t="shared" si="83"/>
        <v>0.17247069865634088</v>
      </c>
      <c r="BI42">
        <f t="shared" si="83"/>
        <v>0.14592525533374723</v>
      </c>
      <c r="BJ42">
        <f t="shared" si="83"/>
        <v>0.12149164891830948</v>
      </c>
      <c r="BK42">
        <f t="shared" si="83"/>
        <v>9.9376532983786625E-2</v>
      </c>
      <c r="BL42">
        <f t="shared" si="83"/>
        <v>7.9725641830217908E-2</v>
      </c>
      <c r="BM42">
        <f t="shared" si="83"/>
        <v>6.2615524787291502E-2</v>
      </c>
      <c r="BN42">
        <f t="shared" si="83"/>
        <v>4.8044178664440829E-2</v>
      </c>
      <c r="BO42">
        <f t="shared" si="83"/>
        <v>3.5933732584590726E-2</v>
      </c>
      <c r="BP42">
        <f t="shared" si="83"/>
        <v>2.6133458275100507E-2</v>
      </c>
      <c r="BQ42">
        <f t="shared" si="83"/>
        <v>1.8430733800338831E-2</v>
      </c>
      <c r="BR42">
        <f t="shared" si="83"/>
        <v>1.2567829789475606E-2</v>
      </c>
      <c r="BS42">
        <f t="shared" si="83"/>
        <v>8.2591297207427958E-3</v>
      </c>
      <c r="BT42">
        <f t="shared" si="83"/>
        <v>5.2122027867433553E-3</v>
      </c>
      <c r="BU42">
        <f t="shared" si="83"/>
        <v>3.1464166381952284E-3</v>
      </c>
      <c r="BV42">
        <f t="shared" si="83"/>
        <v>1.8083829417874107E-3</v>
      </c>
      <c r="BW42">
        <f t="shared" si="83"/>
        <v>9.8611622662467214E-4</v>
      </c>
      <c r="BX42">
        <f t="shared" si="83"/>
        <v>5.0695092216100288E-4</v>
      </c>
      <c r="BY42">
        <f t="shared" si="83"/>
        <v>2.4441019557020123E-4</v>
      </c>
      <c r="BZ42">
        <f t="shared" si="83"/>
        <v>1.09827425215693E-4</v>
      </c>
      <c r="CA42">
        <f t="shared" si="83"/>
        <v>4.5685128151046978E-5</v>
      </c>
      <c r="CB42">
        <f t="shared" si="83"/>
        <v>1.7461736366364014E-5</v>
      </c>
      <c r="CC42">
        <f t="shared" si="83"/>
        <v>6.0828254455185225E-6</v>
      </c>
      <c r="CD42">
        <f t="shared" si="83"/>
        <v>1.9146244657771438E-6</v>
      </c>
      <c r="CE42">
        <f t="shared" si="83"/>
        <v>5.3886181025183994E-7</v>
      </c>
      <c r="CF42">
        <f t="shared" si="83"/>
        <v>0</v>
      </c>
      <c r="CG42">
        <f t="shared" si="83"/>
        <v>0</v>
      </c>
      <c r="CH42">
        <f t="shared" si="83"/>
        <v>0</v>
      </c>
      <c r="CI42">
        <f t="shared" si="83"/>
        <v>0</v>
      </c>
      <c r="CJ42">
        <f t="shared" si="83"/>
        <v>0</v>
      </c>
      <c r="CK42">
        <f t="shared" si="83"/>
        <v>0</v>
      </c>
      <c r="CL42">
        <f t="shared" si="83"/>
        <v>0</v>
      </c>
      <c r="CM42">
        <f t="shared" si="83"/>
        <v>0</v>
      </c>
      <c r="CN42">
        <f t="shared" si="83"/>
        <v>0</v>
      </c>
      <c r="CO42">
        <f t="shared" ref="CO42:DN42" si="84">CN43/CN$3</f>
        <v>0</v>
      </c>
      <c r="CP42">
        <f t="shared" si="84"/>
        <v>0</v>
      </c>
      <c r="CQ42">
        <f t="shared" si="84"/>
        <v>0</v>
      </c>
      <c r="CR42">
        <f t="shared" si="84"/>
        <v>0</v>
      </c>
      <c r="CS42">
        <f t="shared" si="84"/>
        <v>0</v>
      </c>
      <c r="CT42">
        <f t="shared" si="84"/>
        <v>0</v>
      </c>
      <c r="CU42">
        <f t="shared" si="84"/>
        <v>0</v>
      </c>
      <c r="CV42">
        <f t="shared" si="84"/>
        <v>0</v>
      </c>
      <c r="CW42">
        <f t="shared" si="84"/>
        <v>0</v>
      </c>
      <c r="CX42">
        <f t="shared" si="84"/>
        <v>0</v>
      </c>
      <c r="CY42">
        <f t="shared" si="84"/>
        <v>0</v>
      </c>
      <c r="CZ42">
        <f t="shared" si="84"/>
        <v>0</v>
      </c>
      <c r="DA42">
        <f t="shared" si="84"/>
        <v>0</v>
      </c>
      <c r="DB42">
        <f t="shared" si="84"/>
        <v>0</v>
      </c>
      <c r="DC42">
        <f t="shared" si="84"/>
        <v>0</v>
      </c>
      <c r="DD42">
        <f t="shared" si="84"/>
        <v>0</v>
      </c>
      <c r="DE42">
        <f t="shared" si="84"/>
        <v>0</v>
      </c>
      <c r="DF42">
        <f t="shared" si="84"/>
        <v>0</v>
      </c>
      <c r="DG42">
        <f t="shared" si="84"/>
        <v>0</v>
      </c>
      <c r="DH42">
        <f t="shared" si="84"/>
        <v>0</v>
      </c>
      <c r="DI42">
        <f t="shared" si="84"/>
        <v>0</v>
      </c>
      <c r="DJ42">
        <f t="shared" si="84"/>
        <v>0</v>
      </c>
      <c r="DK42">
        <f t="shared" si="84"/>
        <v>0</v>
      </c>
      <c r="DL42">
        <f t="shared" si="84"/>
        <v>0</v>
      </c>
      <c r="DM42">
        <f t="shared" si="84"/>
        <v>0</v>
      </c>
      <c r="DN42">
        <f t="shared" si="84"/>
        <v>0</v>
      </c>
    </row>
    <row r="43" spans="1:118" x14ac:dyDescent="0.2">
      <c r="A43">
        <v>39</v>
      </c>
      <c r="B43">
        <v>58</v>
      </c>
      <c r="C43">
        <f t="shared" si="2"/>
        <v>0.14914796641529154</v>
      </c>
      <c r="D43">
        <f t="shared" si="3"/>
        <v>2.2245115885816933E-2</v>
      </c>
      <c r="E43">
        <v>1.158E-2</v>
      </c>
      <c r="F43">
        <f t="shared" si="0"/>
        <v>0.98841999999999997</v>
      </c>
      <c r="G43" s="34">
        <f t="shared" si="5"/>
        <v>0.86223398519288241</v>
      </c>
      <c r="H43" s="34"/>
      <c r="I43">
        <v>399.24818193937062</v>
      </c>
      <c r="J43">
        <v>58</v>
      </c>
      <c r="K43" s="38">
        <f t="shared" si="6"/>
        <v>399.24818193937114</v>
      </c>
      <c r="L43" s="22">
        <f t="shared" si="72"/>
        <v>354.19371115563206</v>
      </c>
      <c r="M43" s="23">
        <f t="shared" si="4"/>
        <v>439.52824054796787</v>
      </c>
      <c r="T43" s="60">
        <v>342.63</v>
      </c>
      <c r="U43">
        <v>1.158E-2</v>
      </c>
      <c r="V43">
        <v>1.9230769230769232E-2</v>
      </c>
      <c r="W43">
        <v>3.9210560847676823E-2</v>
      </c>
      <c r="Z43">
        <f t="shared" si="10"/>
        <v>9.75E-3</v>
      </c>
      <c r="AA43">
        <f t="shared" si="11"/>
        <v>0.99024999999999996</v>
      </c>
      <c r="AB43" s="34">
        <f t="shared" si="15"/>
        <v>0.88169927814311322</v>
      </c>
      <c r="AC43">
        <f t="shared" ref="AC43:CN43" si="85">AB44/AB$3</f>
        <v>0.8732350639250761</v>
      </c>
      <c r="AD43">
        <f t="shared" si="85"/>
        <v>0.86403888310091059</v>
      </c>
      <c r="AE43">
        <f t="shared" si="85"/>
        <v>0.85407419400958762</v>
      </c>
      <c r="AF43">
        <f t="shared" si="85"/>
        <v>0.8432750338883096</v>
      </c>
      <c r="AG43">
        <f t="shared" si="85"/>
        <v>0.83159876216900552</v>
      </c>
      <c r="AH43">
        <f t="shared" si="85"/>
        <v>0.81897632556186295</v>
      </c>
      <c r="AI43">
        <f t="shared" si="85"/>
        <v>0.80535583076588935</v>
      </c>
      <c r="AJ43">
        <f t="shared" si="85"/>
        <v>0.79068689852437657</v>
      </c>
      <c r="AK43">
        <f t="shared" si="85"/>
        <v>0.77522328897892734</v>
      </c>
      <c r="AL43">
        <f t="shared" si="85"/>
        <v>0.75797264155257305</v>
      </c>
      <c r="AM43">
        <f t="shared" si="85"/>
        <v>0.73982174482105179</v>
      </c>
      <c r="AN43">
        <f t="shared" si="85"/>
        <v>0.72042197791692109</v>
      </c>
      <c r="AO43">
        <f t="shared" si="85"/>
        <v>0.69973230737011349</v>
      </c>
      <c r="AP43">
        <f t="shared" si="85"/>
        <v>0.67772832310993991</v>
      </c>
      <c r="AQ43">
        <f t="shared" si="85"/>
        <v>0.6543972488868588</v>
      </c>
      <c r="AR43">
        <f t="shared" si="85"/>
        <v>0.62973579884163278</v>
      </c>
      <c r="AS43">
        <f t="shared" si="85"/>
        <v>0.60376028576332352</v>
      </c>
      <c r="AT43">
        <f t="shared" si="85"/>
        <v>0.57651083133931447</v>
      </c>
      <c r="AU43">
        <f t="shared" si="85"/>
        <v>0.54804273030201922</v>
      </c>
      <c r="AV43">
        <f t="shared" si="85"/>
        <v>0.51844270836360973</v>
      </c>
      <c r="AW43">
        <f t="shared" si="85"/>
        <v>0.48782130534058904</v>
      </c>
      <c r="AX43">
        <f t="shared" si="85"/>
        <v>0.45631660749011416</v>
      </c>
      <c r="AY43">
        <f t="shared" si="85"/>
        <v>0.4241071005649491</v>
      </c>
      <c r="AZ43">
        <f t="shared" si="85"/>
        <v>0.39139770850684735</v>
      </c>
      <c r="BA43">
        <f t="shared" si="85"/>
        <v>0.35842537146142922</v>
      </c>
      <c r="BB43">
        <f t="shared" si="85"/>
        <v>0.32545815431325498</v>
      </c>
      <c r="BC43">
        <f t="shared" si="85"/>
        <v>0.29278126523462988</v>
      </c>
      <c r="BD43">
        <f t="shared" si="85"/>
        <v>0.26070987118984945</v>
      </c>
      <c r="BE43">
        <f t="shared" si="85"/>
        <v>0.22956754567835799</v>
      </c>
      <c r="BF43">
        <f t="shared" si="85"/>
        <v>0.19967995361123766</v>
      </c>
      <c r="BG43">
        <f t="shared" si="85"/>
        <v>0.17136343677096716</v>
      </c>
      <c r="BH43">
        <f t="shared" si="85"/>
        <v>0.144908156304071</v>
      </c>
      <c r="BI43">
        <f t="shared" si="85"/>
        <v>0.12057074221950868</v>
      </c>
      <c r="BJ43">
        <f t="shared" si="85"/>
        <v>9.8557670352000221E-2</v>
      </c>
      <c r="BK43">
        <f t="shared" si="85"/>
        <v>7.9011300079419158E-2</v>
      </c>
      <c r="BL43">
        <f t="shared" si="85"/>
        <v>6.2005023420615403E-2</v>
      </c>
      <c r="BM43">
        <f t="shared" si="85"/>
        <v>4.7533949487024468E-2</v>
      </c>
      <c r="BN43">
        <f t="shared" si="85"/>
        <v>3.5517619961261161E-2</v>
      </c>
      <c r="BO43">
        <f t="shared" si="85"/>
        <v>2.5803654031668739E-2</v>
      </c>
      <c r="BP43">
        <f t="shared" si="85"/>
        <v>1.8177126903246171E-2</v>
      </c>
      <c r="BQ43">
        <f t="shared" si="85"/>
        <v>1.2379186664335576E-2</v>
      </c>
      <c r="BR43">
        <f t="shared" si="85"/>
        <v>8.1238451759170285E-3</v>
      </c>
      <c r="BS43">
        <f t="shared" si="85"/>
        <v>5.1190086009163839E-3</v>
      </c>
      <c r="BT43">
        <f t="shared" si="85"/>
        <v>3.0849985854176577E-3</v>
      </c>
      <c r="BU43">
        <f t="shared" si="85"/>
        <v>1.7705515706452179E-3</v>
      </c>
      <c r="BV43">
        <f t="shared" si="85"/>
        <v>9.6276499437819997E-4</v>
      </c>
      <c r="BW43">
        <f t="shared" si="85"/>
        <v>4.9405409070122698E-4</v>
      </c>
      <c r="BX43">
        <f t="shared" si="85"/>
        <v>2.3761803623530533E-4</v>
      </c>
      <c r="BY43">
        <f t="shared" si="85"/>
        <v>1.0649196631189239E-4</v>
      </c>
      <c r="BZ43">
        <f t="shared" si="85"/>
        <v>4.4169295598995243E-5</v>
      </c>
      <c r="CA43">
        <f t="shared" si="85"/>
        <v>1.6828573805719657E-5</v>
      </c>
      <c r="CB43">
        <f t="shared" si="85"/>
        <v>5.8418239013670786E-6</v>
      </c>
      <c r="CC43">
        <f t="shared" si="85"/>
        <v>1.8317212264089936E-6</v>
      </c>
      <c r="CD43">
        <f t="shared" si="85"/>
        <v>5.1336825800882543E-7</v>
      </c>
      <c r="CE43">
        <f t="shared" si="85"/>
        <v>0</v>
      </c>
      <c r="CF43">
        <f t="shared" si="85"/>
        <v>0</v>
      </c>
      <c r="CG43">
        <f t="shared" si="85"/>
        <v>0</v>
      </c>
      <c r="CH43">
        <f t="shared" si="85"/>
        <v>0</v>
      </c>
      <c r="CI43">
        <f t="shared" si="85"/>
        <v>0</v>
      </c>
      <c r="CJ43">
        <f t="shared" si="85"/>
        <v>0</v>
      </c>
      <c r="CK43">
        <f t="shared" si="85"/>
        <v>0</v>
      </c>
      <c r="CL43">
        <f t="shared" si="85"/>
        <v>0</v>
      </c>
      <c r="CM43">
        <f t="shared" si="85"/>
        <v>0</v>
      </c>
      <c r="CN43">
        <f t="shared" si="85"/>
        <v>0</v>
      </c>
      <c r="CO43">
        <f t="shared" ref="CO43:DN43" si="86">CN44/CN$3</f>
        <v>0</v>
      </c>
      <c r="CP43">
        <f t="shared" si="86"/>
        <v>0</v>
      </c>
      <c r="CQ43">
        <f t="shared" si="86"/>
        <v>0</v>
      </c>
      <c r="CR43">
        <f t="shared" si="86"/>
        <v>0</v>
      </c>
      <c r="CS43">
        <f t="shared" si="86"/>
        <v>0</v>
      </c>
      <c r="CT43">
        <f t="shared" si="86"/>
        <v>0</v>
      </c>
      <c r="CU43">
        <f t="shared" si="86"/>
        <v>0</v>
      </c>
      <c r="CV43">
        <f t="shared" si="86"/>
        <v>0</v>
      </c>
      <c r="CW43">
        <f t="shared" si="86"/>
        <v>0</v>
      </c>
      <c r="CX43">
        <f t="shared" si="86"/>
        <v>0</v>
      </c>
      <c r="CY43">
        <f t="shared" si="86"/>
        <v>0</v>
      </c>
      <c r="CZ43">
        <f t="shared" si="86"/>
        <v>0</v>
      </c>
      <c r="DA43">
        <f t="shared" si="86"/>
        <v>0</v>
      </c>
      <c r="DB43">
        <f t="shared" si="86"/>
        <v>0</v>
      </c>
      <c r="DC43">
        <f t="shared" si="86"/>
        <v>0</v>
      </c>
      <c r="DD43">
        <f t="shared" si="86"/>
        <v>0</v>
      </c>
      <c r="DE43">
        <f t="shared" si="86"/>
        <v>0</v>
      </c>
      <c r="DF43">
        <f t="shared" si="86"/>
        <v>0</v>
      </c>
      <c r="DG43">
        <f t="shared" si="86"/>
        <v>0</v>
      </c>
      <c r="DH43">
        <f t="shared" si="86"/>
        <v>0</v>
      </c>
      <c r="DI43">
        <f t="shared" si="86"/>
        <v>0</v>
      </c>
      <c r="DJ43">
        <f t="shared" si="86"/>
        <v>0</v>
      </c>
      <c r="DK43">
        <f t="shared" si="86"/>
        <v>0</v>
      </c>
      <c r="DL43">
        <f t="shared" si="86"/>
        <v>0</v>
      </c>
      <c r="DM43">
        <f t="shared" si="86"/>
        <v>0</v>
      </c>
      <c r="DN43">
        <f t="shared" si="86"/>
        <v>0</v>
      </c>
    </row>
    <row r="44" spans="1:118" x14ac:dyDescent="0.2">
      <c r="A44">
        <v>40</v>
      </c>
      <c r="B44">
        <v>59</v>
      </c>
      <c r="C44">
        <f t="shared" si="2"/>
        <v>0.14204568230027767</v>
      </c>
      <c r="D44">
        <f t="shared" si="3"/>
        <v>2.0176975860151419E-2</v>
      </c>
      <c r="E44">
        <v>1.2619999999999999E-2</v>
      </c>
      <c r="F44">
        <f t="shared" si="0"/>
        <v>0.98738000000000004</v>
      </c>
      <c r="G44" s="34">
        <f t="shared" si="5"/>
        <v>0.85135259229974825</v>
      </c>
      <c r="H44" s="34"/>
      <c r="I44">
        <v>412.40625547473684</v>
      </c>
      <c r="J44">
        <v>59</v>
      </c>
      <c r="K44" s="38">
        <f t="shared" si="6"/>
        <v>412.40625547473718</v>
      </c>
      <c r="L44" s="22">
        <f t="shared" si="72"/>
        <v>359.58777704112771</v>
      </c>
      <c r="M44" s="23">
        <f t="shared" si="4"/>
        <v>439.52824054796787</v>
      </c>
      <c r="T44" s="60">
        <v>355.73</v>
      </c>
      <c r="U44">
        <v>1.2619999999999999E-2</v>
      </c>
      <c r="V44">
        <v>1.9607843137254902E-2</v>
      </c>
      <c r="W44">
        <v>3.9210560847676823E-2</v>
      </c>
      <c r="Z44">
        <f t="shared" si="10"/>
        <v>1.0619999999999999E-2</v>
      </c>
      <c r="AA44">
        <f t="shared" si="11"/>
        <v>0.98938000000000004</v>
      </c>
      <c r="AB44" s="34">
        <f t="shared" si="15"/>
        <v>0.87233563180923335</v>
      </c>
      <c r="AC44">
        <f t="shared" ref="AC44:CN44" si="87">AB45/AB$3</f>
        <v>0.86312300188482372</v>
      </c>
      <c r="AD44">
        <f t="shared" si="87"/>
        <v>0.85313471239617711</v>
      </c>
      <c r="AE44">
        <f t="shared" si="87"/>
        <v>0.8423221331000158</v>
      </c>
      <c r="AF44">
        <f t="shared" si="87"/>
        <v>0.83061747562964616</v>
      </c>
      <c r="AG44">
        <f t="shared" si="87"/>
        <v>0.81797717444467744</v>
      </c>
      <c r="AH44">
        <f t="shared" si="87"/>
        <v>0.8043330288608167</v>
      </c>
      <c r="AI44">
        <f t="shared" si="87"/>
        <v>0.7896352849493391</v>
      </c>
      <c r="AJ44">
        <f t="shared" si="87"/>
        <v>0.77414572860724662</v>
      </c>
      <c r="AK44">
        <f t="shared" si="87"/>
        <v>0.75686600149590633</v>
      </c>
      <c r="AL44">
        <f t="shared" si="87"/>
        <v>0.73868981755147556</v>
      </c>
      <c r="AM44">
        <f t="shared" si="87"/>
        <v>0.7192620985324748</v>
      </c>
      <c r="AN44">
        <f t="shared" si="87"/>
        <v>0.69854276244758429</v>
      </c>
      <c r="AO44">
        <f t="shared" si="87"/>
        <v>0.67651518941157318</v>
      </c>
      <c r="AP44">
        <f t="shared" si="87"/>
        <v>0.65315389411397373</v>
      </c>
      <c r="AQ44">
        <f t="shared" si="87"/>
        <v>0.62847002988596112</v>
      </c>
      <c r="AR44">
        <f t="shared" si="87"/>
        <v>0.60246823875179001</v>
      </c>
      <c r="AS44">
        <f t="shared" si="87"/>
        <v>0.57519638664386086</v>
      </c>
      <c r="AT44">
        <f t="shared" si="87"/>
        <v>0.54671098646738525</v>
      </c>
      <c r="AU44">
        <f t="shared" si="87"/>
        <v>0.51709475732186427</v>
      </c>
      <c r="AV44">
        <f t="shared" si="87"/>
        <v>0.48646516211174218</v>
      </c>
      <c r="AW44">
        <f t="shared" si="87"/>
        <v>0.45495678399979361</v>
      </c>
      <c r="AX44">
        <f t="shared" si="87"/>
        <v>0.42274995784314129</v>
      </c>
      <c r="AY44">
        <f t="shared" si="87"/>
        <v>0.3900513003895838</v>
      </c>
      <c r="AZ44">
        <f t="shared" si="87"/>
        <v>0.3570956133333073</v>
      </c>
      <c r="BA44">
        <f t="shared" si="87"/>
        <v>0.32415632169600195</v>
      </c>
      <c r="BB44">
        <f t="shared" si="87"/>
        <v>0.2915193779814686</v>
      </c>
      <c r="BC44">
        <f t="shared" si="87"/>
        <v>0.25949496319010473</v>
      </c>
      <c r="BD44">
        <f t="shared" si="87"/>
        <v>0.22841052524813907</v>
      </c>
      <c r="BE44">
        <f t="shared" si="87"/>
        <v>0.19858970106452031</v>
      </c>
      <c r="BF44">
        <f t="shared" si="87"/>
        <v>0.17034896522528303</v>
      </c>
      <c r="BG44">
        <f t="shared" si="87"/>
        <v>0.14397784594059887</v>
      </c>
      <c r="BH44">
        <f t="shared" si="87"/>
        <v>0.11973036414623871</v>
      </c>
      <c r="BI44">
        <f t="shared" si="87"/>
        <v>9.7810603210732053E-2</v>
      </c>
      <c r="BJ44">
        <f t="shared" si="87"/>
        <v>7.8360246966764746E-2</v>
      </c>
      <c r="BK44">
        <f t="shared" si="87"/>
        <v>6.144945841076669E-2</v>
      </c>
      <c r="BL44">
        <f t="shared" si="87"/>
        <v>4.7070493479525979E-2</v>
      </c>
      <c r="BM44">
        <f t="shared" si="87"/>
        <v>3.5140422837272568E-2</v>
      </c>
      <c r="BN44">
        <f t="shared" si="87"/>
        <v>2.5504847717982015E-2</v>
      </c>
      <c r="BO44">
        <f t="shared" si="87"/>
        <v>1.7947731561727204E-2</v>
      </c>
      <c r="BP44">
        <f t="shared" si="87"/>
        <v>1.2208849055834319E-2</v>
      </c>
      <c r="BQ44">
        <f t="shared" si="87"/>
        <v>8.0019062598265141E-3</v>
      </c>
      <c r="BR44">
        <f t="shared" si="87"/>
        <v>5.0351592400333734E-3</v>
      </c>
      <c r="BS44">
        <f t="shared" si="87"/>
        <v>3.0298388107103899E-3</v>
      </c>
      <c r="BT44">
        <f t="shared" si="87"/>
        <v>1.7359904039862234E-3</v>
      </c>
      <c r="BU44">
        <f t="shared" si="87"/>
        <v>9.4262395069580796E-4</v>
      </c>
      <c r="BV44">
        <f t="shared" si="87"/>
        <v>4.823548898334219E-4</v>
      </c>
      <c r="BW44">
        <f t="shared" si="87"/>
        <v>2.3157303339347914E-4</v>
      </c>
      <c r="BX44">
        <f t="shared" si="87"/>
        <v>1.0353255456808491E-4</v>
      </c>
      <c r="BY44">
        <f t="shared" si="87"/>
        <v>4.2827874091653755E-5</v>
      </c>
      <c r="BZ44">
        <f t="shared" si="87"/>
        <v>1.6270201726845879E-5</v>
      </c>
      <c r="CA44">
        <f t="shared" si="87"/>
        <v>5.6299993667035082E-6</v>
      </c>
      <c r="CB44">
        <f t="shared" si="87"/>
        <v>1.7591484314186692E-6</v>
      </c>
      <c r="CC44">
        <f t="shared" si="87"/>
        <v>4.9113941243704325E-7</v>
      </c>
      <c r="CD44">
        <f t="shared" si="87"/>
        <v>0</v>
      </c>
      <c r="CE44">
        <f t="shared" si="87"/>
        <v>0</v>
      </c>
      <c r="CF44">
        <f t="shared" si="87"/>
        <v>0</v>
      </c>
      <c r="CG44">
        <f t="shared" si="87"/>
        <v>0</v>
      </c>
      <c r="CH44">
        <f t="shared" si="87"/>
        <v>0</v>
      </c>
      <c r="CI44">
        <f t="shared" si="87"/>
        <v>0</v>
      </c>
      <c r="CJ44">
        <f t="shared" si="87"/>
        <v>0</v>
      </c>
      <c r="CK44">
        <f t="shared" si="87"/>
        <v>0</v>
      </c>
      <c r="CL44">
        <f t="shared" si="87"/>
        <v>0</v>
      </c>
      <c r="CM44">
        <f t="shared" si="87"/>
        <v>0</v>
      </c>
      <c r="CN44">
        <f t="shared" si="87"/>
        <v>0</v>
      </c>
      <c r="CO44">
        <f t="shared" ref="CO44:DN44" si="88">CN45/CN$3</f>
        <v>0</v>
      </c>
      <c r="CP44">
        <f t="shared" si="88"/>
        <v>0</v>
      </c>
      <c r="CQ44">
        <f t="shared" si="88"/>
        <v>0</v>
      </c>
      <c r="CR44">
        <f t="shared" si="88"/>
        <v>0</v>
      </c>
      <c r="CS44">
        <f t="shared" si="88"/>
        <v>0</v>
      </c>
      <c r="CT44">
        <f t="shared" si="88"/>
        <v>0</v>
      </c>
      <c r="CU44">
        <f t="shared" si="88"/>
        <v>0</v>
      </c>
      <c r="CV44">
        <f t="shared" si="88"/>
        <v>0</v>
      </c>
      <c r="CW44">
        <f t="shared" si="88"/>
        <v>0</v>
      </c>
      <c r="CX44">
        <f t="shared" si="88"/>
        <v>0</v>
      </c>
      <c r="CY44">
        <f t="shared" si="88"/>
        <v>0</v>
      </c>
      <c r="CZ44">
        <f t="shared" si="88"/>
        <v>0</v>
      </c>
      <c r="DA44">
        <f t="shared" si="88"/>
        <v>0</v>
      </c>
      <c r="DB44">
        <f t="shared" si="88"/>
        <v>0</v>
      </c>
      <c r="DC44">
        <f t="shared" si="88"/>
        <v>0</v>
      </c>
      <c r="DD44">
        <f t="shared" si="88"/>
        <v>0</v>
      </c>
      <c r="DE44">
        <f t="shared" si="88"/>
        <v>0</v>
      </c>
      <c r="DF44">
        <f t="shared" si="88"/>
        <v>0</v>
      </c>
      <c r="DG44">
        <f t="shared" si="88"/>
        <v>0</v>
      </c>
      <c r="DH44">
        <f t="shared" si="88"/>
        <v>0</v>
      </c>
      <c r="DI44">
        <f t="shared" si="88"/>
        <v>0</v>
      </c>
      <c r="DJ44">
        <f t="shared" si="88"/>
        <v>0</v>
      </c>
      <c r="DK44">
        <f t="shared" si="88"/>
        <v>0</v>
      </c>
      <c r="DL44">
        <f t="shared" si="88"/>
        <v>0</v>
      </c>
      <c r="DM44">
        <f t="shared" si="88"/>
        <v>0</v>
      </c>
      <c r="DN44">
        <f t="shared" si="88"/>
        <v>0</v>
      </c>
    </row>
    <row r="45" spans="1:118" x14ac:dyDescent="0.2">
      <c r="A45">
        <v>41</v>
      </c>
      <c r="B45">
        <v>60</v>
      </c>
      <c r="C45">
        <f t="shared" si="2"/>
        <v>0.13528160219074065</v>
      </c>
      <c r="D45">
        <f t="shared" si="3"/>
        <v>1.8301111891293805E-2</v>
      </c>
      <c r="E45">
        <v>1.376E-2</v>
      </c>
      <c r="F45">
        <f t="shared" si="0"/>
        <v>0.98624000000000001</v>
      </c>
      <c r="G45" s="34">
        <f t="shared" si="5"/>
        <v>0.83963798062970374</v>
      </c>
      <c r="H45" s="34"/>
      <c r="I45">
        <v>425.77991072178258</v>
      </c>
      <c r="J45">
        <v>60</v>
      </c>
      <c r="K45" s="38">
        <f t="shared" si="6"/>
        <v>425.77991072178298</v>
      </c>
      <c r="L45" s="22">
        <f t="shared" si="72"/>
        <v>365.11850921104769</v>
      </c>
      <c r="M45" s="23">
        <f t="shared" si="4"/>
        <v>439.52824054796787</v>
      </c>
      <c r="T45" s="58">
        <v>369.12</v>
      </c>
      <c r="U45">
        <v>1.376E-2</v>
      </c>
      <c r="V45">
        <v>0.02</v>
      </c>
      <c r="W45">
        <v>3.9210560847676823E-2</v>
      </c>
      <c r="Z45">
        <f t="shared" si="10"/>
        <v>1.158E-2</v>
      </c>
      <c r="AA45">
        <f t="shared" si="11"/>
        <v>0.98841999999999997</v>
      </c>
      <c r="AB45" s="34">
        <f t="shared" si="15"/>
        <v>0.86223398519288241</v>
      </c>
      <c r="AC45">
        <f t="shared" ref="AC45:CN45" si="89">AB46/AB$3</f>
        <v>0.85223038960103725</v>
      </c>
      <c r="AD45">
        <f t="shared" si="89"/>
        <v>0.84139557875360582</v>
      </c>
      <c r="AE45">
        <f t="shared" si="89"/>
        <v>0.82967887788218464</v>
      </c>
      <c r="AF45">
        <f t="shared" si="89"/>
        <v>0.8170119613788327</v>
      </c>
      <c r="AG45">
        <f t="shared" si="89"/>
        <v>0.80335174256560649</v>
      </c>
      <c r="AH45">
        <f t="shared" si="89"/>
        <v>0.78863244813745348</v>
      </c>
      <c r="AI45">
        <f t="shared" si="89"/>
        <v>0.77311611478819897</v>
      </c>
      <c r="AJ45">
        <f t="shared" si="89"/>
        <v>0.75581395775382698</v>
      </c>
      <c r="AK45">
        <f t="shared" si="89"/>
        <v>0.73761133041785043</v>
      </c>
      <c r="AL45">
        <f t="shared" si="89"/>
        <v>0.71816162752172008</v>
      </c>
      <c r="AM45">
        <f t="shared" si="89"/>
        <v>0.69741810860004372</v>
      </c>
      <c r="AN45">
        <f t="shared" si="89"/>
        <v>0.67536511358957352</v>
      </c>
      <c r="AO45">
        <f t="shared" si="89"/>
        <v>0.65198474864350975</v>
      </c>
      <c r="AP45">
        <f t="shared" si="89"/>
        <v>0.62727593682917782</v>
      </c>
      <c r="AQ45">
        <f t="shared" si="89"/>
        <v>0.60125727759189895</v>
      </c>
      <c r="AR45">
        <f t="shared" si="89"/>
        <v>0.57396546637644297</v>
      </c>
      <c r="AS45">
        <f t="shared" si="89"/>
        <v>0.54546448541823966</v>
      </c>
      <c r="AT45">
        <f t="shared" si="89"/>
        <v>0.51583821706157207</v>
      </c>
      <c r="AU45">
        <f t="shared" si="89"/>
        <v>0.48520035269025164</v>
      </c>
      <c r="AV45">
        <f t="shared" si="89"/>
        <v>0.45369200414027416</v>
      </c>
      <c r="AW45">
        <f t="shared" si="89"/>
        <v>0.42149016296876873</v>
      </c>
      <c r="AX45">
        <f t="shared" si="89"/>
        <v>0.38880313622833712</v>
      </c>
      <c r="AY45">
        <f t="shared" si="89"/>
        <v>0.35586720442344072</v>
      </c>
      <c r="AZ45">
        <f t="shared" si="89"/>
        <v>0.32295370174250976</v>
      </c>
      <c r="BA45">
        <f t="shared" si="89"/>
        <v>0.29035330046954272</v>
      </c>
      <c r="BB45">
        <f t="shared" si="89"/>
        <v>0.25837653989875536</v>
      </c>
      <c r="BC45">
        <f t="shared" si="89"/>
        <v>0.22734613220048275</v>
      </c>
      <c r="BD45">
        <f t="shared" si="89"/>
        <v>0.19758880897115513</v>
      </c>
      <c r="BE45">
        <f t="shared" si="89"/>
        <v>0.16941885987515298</v>
      </c>
      <c r="BF45">
        <f t="shared" si="89"/>
        <v>0.14312549709263053</v>
      </c>
      <c r="BG45">
        <f t="shared" si="89"/>
        <v>0.11896169520841986</v>
      </c>
      <c r="BH45">
        <f t="shared" si="89"/>
        <v>9.7128863306353244E-2</v>
      </c>
      <c r="BI45">
        <f t="shared" si="89"/>
        <v>7.7766276294756673E-2</v>
      </c>
      <c r="BJ45">
        <f t="shared" si="89"/>
        <v>6.0943114873461969E-2</v>
      </c>
      <c r="BK45">
        <f t="shared" si="89"/>
        <v>4.6648741857949427E-2</v>
      </c>
      <c r="BL45">
        <f t="shared" si="89"/>
        <v>3.4797803714609159E-2</v>
      </c>
      <c r="BM45">
        <f t="shared" si="89"/>
        <v>2.5233986235217047E-2</v>
      </c>
      <c r="BN45">
        <f t="shared" si="89"/>
        <v>1.7739896830242404E-2</v>
      </c>
      <c r="BO45">
        <f t="shared" si="89"/>
        <v>1.205477338074969E-2</v>
      </c>
      <c r="BP45">
        <f t="shared" si="89"/>
        <v>7.8918000296913007E-3</v>
      </c>
      <c r="BQ45">
        <f t="shared" si="89"/>
        <v>4.9595814998404722E-3</v>
      </c>
      <c r="BR45">
        <f t="shared" si="89"/>
        <v>2.9802100509909537E-3</v>
      </c>
      <c r="BS45">
        <f t="shared" si="89"/>
        <v>1.7049508955629498E-3</v>
      </c>
      <c r="BT45">
        <f t="shared" si="89"/>
        <v>9.2422393117822584E-4</v>
      </c>
      <c r="BU45">
        <f t="shared" si="89"/>
        <v>4.7226402553810669E-4</v>
      </c>
      <c r="BV45">
        <f t="shared" si="89"/>
        <v>2.2608938396272154E-4</v>
      </c>
      <c r="BW45">
        <f t="shared" si="89"/>
        <v>1.0089868637987283E-4</v>
      </c>
      <c r="BX45">
        <f t="shared" si="89"/>
        <v>4.1637687470646695E-5</v>
      </c>
      <c r="BY45">
        <f t="shared" si="89"/>
        <v>1.5776075700401571E-5</v>
      </c>
      <c r="BZ45">
        <f t="shared" si="89"/>
        <v>5.4431959877162856E-6</v>
      </c>
      <c r="CA45">
        <f t="shared" si="89"/>
        <v>1.6953617092954284E-6</v>
      </c>
      <c r="CB45">
        <f t="shared" si="89"/>
        <v>4.7168046891628758E-7</v>
      </c>
      <c r="CC45">
        <f t="shared" si="89"/>
        <v>0</v>
      </c>
      <c r="CD45">
        <f t="shared" si="89"/>
        <v>0</v>
      </c>
      <c r="CE45">
        <f t="shared" si="89"/>
        <v>0</v>
      </c>
      <c r="CF45">
        <f t="shared" si="89"/>
        <v>0</v>
      </c>
      <c r="CG45">
        <f t="shared" si="89"/>
        <v>0</v>
      </c>
      <c r="CH45">
        <f t="shared" si="89"/>
        <v>0</v>
      </c>
      <c r="CI45">
        <f t="shared" si="89"/>
        <v>0</v>
      </c>
      <c r="CJ45">
        <f t="shared" si="89"/>
        <v>0</v>
      </c>
      <c r="CK45">
        <f t="shared" si="89"/>
        <v>0</v>
      </c>
      <c r="CL45">
        <f t="shared" si="89"/>
        <v>0</v>
      </c>
      <c r="CM45">
        <f t="shared" si="89"/>
        <v>0</v>
      </c>
      <c r="CN45">
        <f t="shared" si="89"/>
        <v>0</v>
      </c>
      <c r="CO45">
        <f t="shared" ref="CO45:DN45" si="90">CN46/CN$3</f>
        <v>0</v>
      </c>
      <c r="CP45">
        <f t="shared" si="90"/>
        <v>0</v>
      </c>
      <c r="CQ45">
        <f t="shared" si="90"/>
        <v>0</v>
      </c>
      <c r="CR45">
        <f t="shared" si="90"/>
        <v>0</v>
      </c>
      <c r="CS45">
        <f t="shared" si="90"/>
        <v>0</v>
      </c>
      <c r="CT45">
        <f t="shared" si="90"/>
        <v>0</v>
      </c>
      <c r="CU45">
        <f t="shared" si="90"/>
        <v>0</v>
      </c>
      <c r="CV45">
        <f t="shared" si="90"/>
        <v>0</v>
      </c>
      <c r="CW45">
        <f t="shared" si="90"/>
        <v>0</v>
      </c>
      <c r="CX45">
        <f t="shared" si="90"/>
        <v>0</v>
      </c>
      <c r="CY45">
        <f t="shared" si="90"/>
        <v>0</v>
      </c>
      <c r="CZ45">
        <f t="shared" si="90"/>
        <v>0</v>
      </c>
      <c r="DA45">
        <f t="shared" si="90"/>
        <v>0</v>
      </c>
      <c r="DB45">
        <f t="shared" si="90"/>
        <v>0</v>
      </c>
      <c r="DC45">
        <f t="shared" si="90"/>
        <v>0</v>
      </c>
      <c r="DD45">
        <f t="shared" si="90"/>
        <v>0</v>
      </c>
      <c r="DE45">
        <f t="shared" si="90"/>
        <v>0</v>
      </c>
      <c r="DF45">
        <f t="shared" si="90"/>
        <v>0</v>
      </c>
      <c r="DG45">
        <f t="shared" si="90"/>
        <v>0</v>
      </c>
      <c r="DH45">
        <f t="shared" si="90"/>
        <v>0</v>
      </c>
      <c r="DI45">
        <f t="shared" si="90"/>
        <v>0</v>
      </c>
      <c r="DJ45">
        <f t="shared" si="90"/>
        <v>0</v>
      </c>
      <c r="DK45">
        <f t="shared" si="90"/>
        <v>0</v>
      </c>
      <c r="DL45">
        <f t="shared" si="90"/>
        <v>0</v>
      </c>
      <c r="DM45">
        <f t="shared" si="90"/>
        <v>0</v>
      </c>
      <c r="DN45">
        <f t="shared" si="90"/>
        <v>0</v>
      </c>
    </row>
    <row r="46" spans="1:118" x14ac:dyDescent="0.2">
      <c r="A46">
        <v>42</v>
      </c>
      <c r="B46">
        <v>61</v>
      </c>
      <c r="C46">
        <f t="shared" si="2"/>
        <v>0.12883962113403868</v>
      </c>
      <c r="D46">
        <f t="shared" si="3"/>
        <v>1.6599647973962628E-2</v>
      </c>
      <c r="E46">
        <v>1.5009999999999999E-2</v>
      </c>
      <c r="F46">
        <f t="shared" si="0"/>
        <v>0.98499000000000003</v>
      </c>
      <c r="G46" s="34">
        <f t="shared" si="5"/>
        <v>0.82703501454045192</v>
      </c>
      <c r="H46" s="34"/>
      <c r="I46">
        <v>439.35442312000282</v>
      </c>
      <c r="J46">
        <v>61</v>
      </c>
      <c r="K46" s="38">
        <f t="shared" si="6"/>
        <v>439.35442312000345</v>
      </c>
      <c r="L46" s="22">
        <f t="shared" si="72"/>
        <v>370.79023946081645</v>
      </c>
      <c r="M46" s="23">
        <f t="shared" si="4"/>
        <v>439.52824054796787</v>
      </c>
      <c r="T46" s="59">
        <v>382.77</v>
      </c>
      <c r="U46">
        <v>1.5009999999999999E-2</v>
      </c>
      <c r="V46">
        <v>2.0408163265306121E-2</v>
      </c>
      <c r="W46">
        <v>3.9210560847676823E-2</v>
      </c>
      <c r="Z46">
        <f t="shared" si="10"/>
        <v>1.2619999999999999E-2</v>
      </c>
      <c r="AA46">
        <f t="shared" si="11"/>
        <v>0.98738000000000004</v>
      </c>
      <c r="AB46" s="34">
        <f t="shared" si="15"/>
        <v>0.85135259229974825</v>
      </c>
      <c r="AC46">
        <f t="shared" ref="AC46:CN46" si="91">AB47/AB$3</f>
        <v>0.84050369944012704</v>
      </c>
      <c r="AD46">
        <f t="shared" si="91"/>
        <v>0.82876623111651426</v>
      </c>
      <c r="AE46">
        <f t="shared" si="91"/>
        <v>0.8160887378624746</v>
      </c>
      <c r="AF46">
        <f t="shared" si="91"/>
        <v>0.80240378750937913</v>
      </c>
      <c r="AG46">
        <f t="shared" si="91"/>
        <v>0.78767031655072584</v>
      </c>
      <c r="AH46">
        <f t="shared" si="91"/>
        <v>0.77213425732241792</v>
      </c>
      <c r="AI46">
        <f t="shared" si="91"/>
        <v>0.75480872519001441</v>
      </c>
      <c r="AJ46">
        <f t="shared" si="91"/>
        <v>0.73658605066856964</v>
      </c>
      <c r="AK46">
        <f t="shared" si="91"/>
        <v>0.71711311154553836</v>
      </c>
      <c r="AL46">
        <f t="shared" si="91"/>
        <v>0.6963510588938856</v>
      </c>
      <c r="AM46">
        <f t="shared" si="91"/>
        <v>0.67427777575669434</v>
      </c>
      <c r="AN46">
        <f t="shared" si="91"/>
        <v>0.65087637457081571</v>
      </c>
      <c r="AO46">
        <f t="shared" si="91"/>
        <v>0.62615311290225362</v>
      </c>
      <c r="AP46">
        <f t="shared" si="91"/>
        <v>0.60011488876447439</v>
      </c>
      <c r="AQ46">
        <f t="shared" si="91"/>
        <v>0.5728117957890263</v>
      </c>
      <c r="AR46">
        <f t="shared" si="91"/>
        <v>0.54429719141944466</v>
      </c>
      <c r="AS46">
        <f t="shared" si="91"/>
        <v>0.51466210592667172</v>
      </c>
      <c r="AT46">
        <f t="shared" si="91"/>
        <v>0.48402131583321428</v>
      </c>
      <c r="AU46">
        <f t="shared" si="91"/>
        <v>0.45251240492950945</v>
      </c>
      <c r="AV46">
        <f t="shared" si="91"/>
        <v>0.42031842031571554</v>
      </c>
      <c r="AW46">
        <f t="shared" si="91"/>
        <v>0.38764450288237667</v>
      </c>
      <c r="AX46">
        <f t="shared" si="91"/>
        <v>0.35472842936928572</v>
      </c>
      <c r="AY46">
        <f t="shared" si="91"/>
        <v>0.32184274100851551</v>
      </c>
      <c r="AZ46">
        <f t="shared" si="91"/>
        <v>0.28927608972480073</v>
      </c>
      <c r="BA46">
        <f t="shared" si="91"/>
        <v>0.25734303373916034</v>
      </c>
      <c r="BB46">
        <f t="shared" si="91"/>
        <v>0.22636627037069865</v>
      </c>
      <c r="BC46">
        <f t="shared" si="91"/>
        <v>0.19666804512134956</v>
      </c>
      <c r="BD46">
        <f t="shared" si="91"/>
        <v>0.16856498882138221</v>
      </c>
      <c r="BE46">
        <f t="shared" si="91"/>
        <v>0.14234403187850478</v>
      </c>
      <c r="BF46">
        <f t="shared" si="91"/>
        <v>0.11825744197278601</v>
      </c>
      <c r="BG46">
        <f t="shared" si="91"/>
        <v>9.6505296003926461E-2</v>
      </c>
      <c r="BH46">
        <f t="shared" si="91"/>
        <v>7.7224245348982215E-2</v>
      </c>
      <c r="BI46">
        <f t="shared" si="91"/>
        <v>6.0481166062721123E-2</v>
      </c>
      <c r="BJ46">
        <f t="shared" si="91"/>
        <v>4.6264356225039924E-2</v>
      </c>
      <c r="BK46">
        <f t="shared" si="91"/>
        <v>3.4486015393326262E-2</v>
      </c>
      <c r="BL46">
        <f t="shared" si="91"/>
        <v>2.4987954869423679E-2</v>
      </c>
      <c r="BM46">
        <f t="shared" si="91"/>
        <v>1.7551499125905229E-2</v>
      </c>
      <c r="BN46">
        <f t="shared" si="91"/>
        <v>1.1915179105000609E-2</v>
      </c>
      <c r="BO46">
        <f t="shared" si="91"/>
        <v>7.7922055133165967E-3</v>
      </c>
      <c r="BP46">
        <f t="shared" si="91"/>
        <v>4.8913376584026674E-3</v>
      </c>
      <c r="BQ46">
        <f t="shared" si="91"/>
        <v>2.9354770981255794E-3</v>
      </c>
      <c r="BR46">
        <f t="shared" si="91"/>
        <v>1.6770237998936287E-3</v>
      </c>
      <c r="BS46">
        <f t="shared" si="91"/>
        <v>9.0769880728875914E-4</v>
      </c>
      <c r="BT46">
        <f t="shared" si="91"/>
        <v>4.6304543175960288E-4</v>
      </c>
      <c r="BU46">
        <f t="shared" si="91"/>
        <v>2.2135959405022139E-4</v>
      </c>
      <c r="BV46">
        <f t="shared" si="91"/>
        <v>9.8509405486397431E-5</v>
      </c>
      <c r="BW46">
        <f t="shared" si="91"/>
        <v>4.0578424701393442E-5</v>
      </c>
      <c r="BX46">
        <f t="shared" si="91"/>
        <v>1.5337658556687413E-5</v>
      </c>
      <c r="BY46">
        <f t="shared" si="91"/>
        <v>5.277886125569342E-6</v>
      </c>
      <c r="BZ46">
        <f t="shared" si="91"/>
        <v>1.639109607781006E-6</v>
      </c>
      <c r="CA46">
        <f t="shared" si="91"/>
        <v>4.5457733511338299E-7</v>
      </c>
      <c r="CB46">
        <f t="shared" si="91"/>
        <v>0</v>
      </c>
      <c r="CC46">
        <f t="shared" si="91"/>
        <v>0</v>
      </c>
      <c r="CD46">
        <f t="shared" si="91"/>
        <v>0</v>
      </c>
      <c r="CE46">
        <f t="shared" si="91"/>
        <v>0</v>
      </c>
      <c r="CF46">
        <f t="shared" si="91"/>
        <v>0</v>
      </c>
      <c r="CG46">
        <f t="shared" si="91"/>
        <v>0</v>
      </c>
      <c r="CH46">
        <f t="shared" si="91"/>
        <v>0</v>
      </c>
      <c r="CI46">
        <f t="shared" si="91"/>
        <v>0</v>
      </c>
      <c r="CJ46">
        <f t="shared" si="91"/>
        <v>0</v>
      </c>
      <c r="CK46">
        <f t="shared" si="91"/>
        <v>0</v>
      </c>
      <c r="CL46">
        <f t="shared" si="91"/>
        <v>0</v>
      </c>
      <c r="CM46">
        <f t="shared" si="91"/>
        <v>0</v>
      </c>
      <c r="CN46">
        <f t="shared" si="91"/>
        <v>0</v>
      </c>
      <c r="CO46">
        <f t="shared" ref="CO46:DN46" si="92">CN47/CN$3</f>
        <v>0</v>
      </c>
      <c r="CP46">
        <f t="shared" si="92"/>
        <v>0</v>
      </c>
      <c r="CQ46">
        <f t="shared" si="92"/>
        <v>0</v>
      </c>
      <c r="CR46">
        <f t="shared" si="92"/>
        <v>0</v>
      </c>
      <c r="CS46">
        <f t="shared" si="92"/>
        <v>0</v>
      </c>
      <c r="CT46">
        <f t="shared" si="92"/>
        <v>0</v>
      </c>
      <c r="CU46">
        <f t="shared" si="92"/>
        <v>0</v>
      </c>
      <c r="CV46">
        <f t="shared" si="92"/>
        <v>0</v>
      </c>
      <c r="CW46">
        <f t="shared" si="92"/>
        <v>0</v>
      </c>
      <c r="CX46">
        <f t="shared" si="92"/>
        <v>0</v>
      </c>
      <c r="CY46">
        <f t="shared" si="92"/>
        <v>0</v>
      </c>
      <c r="CZ46">
        <f t="shared" si="92"/>
        <v>0</v>
      </c>
      <c r="DA46">
        <f t="shared" si="92"/>
        <v>0</v>
      </c>
      <c r="DB46">
        <f t="shared" si="92"/>
        <v>0</v>
      </c>
      <c r="DC46">
        <f t="shared" si="92"/>
        <v>0</v>
      </c>
      <c r="DD46">
        <f t="shared" si="92"/>
        <v>0</v>
      </c>
      <c r="DE46">
        <f t="shared" si="92"/>
        <v>0</v>
      </c>
      <c r="DF46">
        <f t="shared" si="92"/>
        <v>0</v>
      </c>
      <c r="DG46">
        <f t="shared" si="92"/>
        <v>0</v>
      </c>
      <c r="DH46">
        <f t="shared" si="92"/>
        <v>0</v>
      </c>
      <c r="DI46">
        <f t="shared" si="92"/>
        <v>0</v>
      </c>
      <c r="DJ46">
        <f t="shared" si="92"/>
        <v>0</v>
      </c>
      <c r="DK46">
        <f t="shared" si="92"/>
        <v>0</v>
      </c>
      <c r="DL46">
        <f t="shared" si="92"/>
        <v>0</v>
      </c>
      <c r="DM46">
        <f t="shared" si="92"/>
        <v>0</v>
      </c>
      <c r="DN46">
        <f t="shared" si="92"/>
        <v>0</v>
      </c>
    </row>
    <row r="47" spans="1:118" x14ac:dyDescent="0.2">
      <c r="A47">
        <v>43</v>
      </c>
      <c r="B47">
        <v>62</v>
      </c>
      <c r="C47">
        <f t="shared" si="2"/>
        <v>0.12270440108003686</v>
      </c>
      <c r="D47">
        <f t="shared" si="3"/>
        <v>1.5056370044410549E-2</v>
      </c>
      <c r="E47">
        <v>1.6379999999999999E-2</v>
      </c>
      <c r="F47">
        <f t="shared" si="0"/>
        <v>0.98362000000000005</v>
      </c>
      <c r="G47" s="34">
        <f t="shared" si="5"/>
        <v>0.81348818100227938</v>
      </c>
      <c r="H47" s="34"/>
      <c r="I47">
        <v>453.11337605052154</v>
      </c>
      <c r="J47">
        <v>62</v>
      </c>
      <c r="K47" s="38">
        <f t="shared" si="6"/>
        <v>453.11337605052194</v>
      </c>
      <c r="L47" s="22">
        <f t="shared" si="72"/>
        <v>376.6074545887293</v>
      </c>
      <c r="M47" s="23">
        <f t="shared" si="4"/>
        <v>439.52824054796787</v>
      </c>
      <c r="T47" s="60">
        <v>396.68</v>
      </c>
      <c r="U47">
        <v>1.6379999999999999E-2</v>
      </c>
      <c r="V47">
        <v>2.0833333333333332E-2</v>
      </c>
      <c r="W47">
        <v>3.9210560847676823E-2</v>
      </c>
      <c r="Z47">
        <f t="shared" si="10"/>
        <v>1.376E-2</v>
      </c>
      <c r="AA47">
        <f t="shared" si="11"/>
        <v>0.98624000000000001</v>
      </c>
      <c r="AB47" s="34">
        <f t="shared" si="15"/>
        <v>0.83963798062970374</v>
      </c>
      <c r="AC47">
        <f t="shared" ref="AC47:CN47" si="93">AB48/AB$3</f>
        <v>0.82788773891153078</v>
      </c>
      <c r="AD47">
        <f t="shared" si="93"/>
        <v>0.81519104025082589</v>
      </c>
      <c r="AE47">
        <f t="shared" si="93"/>
        <v>0.80149707122949354</v>
      </c>
      <c r="AF47">
        <f t="shared" si="93"/>
        <v>0.78674086557719602</v>
      </c>
      <c r="AG47">
        <f t="shared" si="93"/>
        <v>0.77119225352848453</v>
      </c>
      <c r="AH47">
        <f t="shared" si="93"/>
        <v>0.75385011810902314</v>
      </c>
      <c r="AI47">
        <f t="shared" si="93"/>
        <v>0.73560639122118043</v>
      </c>
      <c r="AJ47">
        <f t="shared" si="93"/>
        <v>0.71611632432049011</v>
      </c>
      <c r="AK47">
        <f t="shared" si="93"/>
        <v>0.69533438634790057</v>
      </c>
      <c r="AL47">
        <f t="shared" si="93"/>
        <v>0.67324613075978657</v>
      </c>
      <c r="AM47">
        <f t="shared" si="93"/>
        <v>0.6498284636077567</v>
      </c>
      <c r="AN47">
        <f t="shared" si="93"/>
        <v>0.62508865261031976</v>
      </c>
      <c r="AO47">
        <f t="shared" si="93"/>
        <v>0.59904068311358605</v>
      </c>
      <c r="AP47">
        <f t="shared" si="93"/>
        <v>0.57172345337702712</v>
      </c>
      <c r="AQ47">
        <f t="shared" si="93"/>
        <v>0.54320315406469155</v>
      </c>
      <c r="AR47">
        <f t="shared" si="93"/>
        <v>0.51356072901998862</v>
      </c>
      <c r="AS47">
        <f t="shared" si="93"/>
        <v>0.48291774723311459</v>
      </c>
      <c r="AT47">
        <f t="shared" si="93"/>
        <v>0.45141279978553073</v>
      </c>
      <c r="AU47">
        <f t="shared" si="93"/>
        <v>0.41922559242289464</v>
      </c>
      <c r="AV47">
        <f t="shared" si="93"/>
        <v>0.38656685116436368</v>
      </c>
      <c r="AW47">
        <f t="shared" si="93"/>
        <v>0.35367133864976524</v>
      </c>
      <c r="AX47">
        <f t="shared" si="93"/>
        <v>0.32081284423728829</v>
      </c>
      <c r="AY47">
        <f t="shared" si="93"/>
        <v>0.28828097997614743</v>
      </c>
      <c r="AZ47">
        <f t="shared" si="93"/>
        <v>0.25638829108398808</v>
      </c>
      <c r="BA47">
        <f t="shared" si="93"/>
        <v>0.22546080528921586</v>
      </c>
      <c r="BB47">
        <f t="shared" si="93"/>
        <v>0.19582040584687654</v>
      </c>
      <c r="BC47">
        <f t="shared" si="93"/>
        <v>0.16777947597347456</v>
      </c>
      <c r="BD47">
        <f t="shared" si="93"/>
        <v>0.1416266179578371</v>
      </c>
      <c r="BE47">
        <f t="shared" si="93"/>
        <v>0.1176117563396146</v>
      </c>
      <c r="BF47">
        <f t="shared" si="93"/>
        <v>9.5933984651583218E-2</v>
      </c>
      <c r="BG47">
        <f t="shared" si="93"/>
        <v>7.6728465693841758E-2</v>
      </c>
      <c r="BH47">
        <f t="shared" si="93"/>
        <v>6.0059612335263954E-2</v>
      </c>
      <c r="BI47">
        <f t="shared" si="93"/>
        <v>4.5913672404854118E-2</v>
      </c>
      <c r="BJ47">
        <f t="shared" si="93"/>
        <v>3.4201850626485251E-2</v>
      </c>
      <c r="BK47">
        <f t="shared" si="93"/>
        <v>2.4764062793793642E-2</v>
      </c>
      <c r="BL47">
        <f t="shared" si="93"/>
        <v>1.7380372009427651E-2</v>
      </c>
      <c r="BM47">
        <f t="shared" si="93"/>
        <v>1.1788639902905502E-2</v>
      </c>
      <c r="BN47">
        <f t="shared" si="93"/>
        <v>7.7019717734723905E-3</v>
      </c>
      <c r="BO47">
        <f t="shared" si="93"/>
        <v>4.8296089771536262E-3</v>
      </c>
      <c r="BP47">
        <f t="shared" si="93"/>
        <v>2.8950849332553714E-3</v>
      </c>
      <c r="BQ47">
        <f t="shared" si="93"/>
        <v>1.6518516726572255E-3</v>
      </c>
      <c r="BR47">
        <f t="shared" si="93"/>
        <v>8.9283070082536926E-4</v>
      </c>
      <c r="BS47">
        <f t="shared" si="93"/>
        <v>4.5476617943974117E-4</v>
      </c>
      <c r="BT47">
        <f t="shared" si="93"/>
        <v>2.1703865477436108E-4</v>
      </c>
      <c r="BU47">
        <f t="shared" si="93"/>
        <v>9.6448588723621986E-5</v>
      </c>
      <c r="BV47">
        <f t="shared" si="93"/>
        <v>3.9617527604464441E-5</v>
      </c>
      <c r="BW47">
        <f t="shared" si="93"/>
        <v>1.4947468523005285E-5</v>
      </c>
      <c r="BX47">
        <f t="shared" si="93"/>
        <v>5.1312136701397697E-6</v>
      </c>
      <c r="BY47">
        <f t="shared" si="93"/>
        <v>1.5893298489926968E-6</v>
      </c>
      <c r="BZ47">
        <f t="shared" si="93"/>
        <v>4.3949445913432095E-7</v>
      </c>
      <c r="CA47">
        <f t="shared" si="93"/>
        <v>0</v>
      </c>
      <c r="CB47">
        <f t="shared" si="93"/>
        <v>0</v>
      </c>
      <c r="CC47">
        <f t="shared" si="93"/>
        <v>0</v>
      </c>
      <c r="CD47">
        <f t="shared" si="93"/>
        <v>0</v>
      </c>
      <c r="CE47">
        <f t="shared" si="93"/>
        <v>0</v>
      </c>
      <c r="CF47">
        <f t="shared" si="93"/>
        <v>0</v>
      </c>
      <c r="CG47">
        <f t="shared" si="93"/>
        <v>0</v>
      </c>
      <c r="CH47">
        <f t="shared" si="93"/>
        <v>0</v>
      </c>
      <c r="CI47">
        <f t="shared" si="93"/>
        <v>0</v>
      </c>
      <c r="CJ47">
        <f t="shared" si="93"/>
        <v>0</v>
      </c>
      <c r="CK47">
        <f t="shared" si="93"/>
        <v>0</v>
      </c>
      <c r="CL47">
        <f t="shared" si="93"/>
        <v>0</v>
      </c>
      <c r="CM47">
        <f t="shared" si="93"/>
        <v>0</v>
      </c>
      <c r="CN47">
        <f t="shared" si="93"/>
        <v>0</v>
      </c>
      <c r="CO47">
        <f t="shared" ref="CO47:DN47" si="94">CN48/CN$3</f>
        <v>0</v>
      </c>
      <c r="CP47">
        <f t="shared" si="94"/>
        <v>0</v>
      </c>
      <c r="CQ47">
        <f t="shared" si="94"/>
        <v>0</v>
      </c>
      <c r="CR47">
        <f t="shared" si="94"/>
        <v>0</v>
      </c>
      <c r="CS47">
        <f t="shared" si="94"/>
        <v>0</v>
      </c>
      <c r="CT47">
        <f t="shared" si="94"/>
        <v>0</v>
      </c>
      <c r="CU47">
        <f t="shared" si="94"/>
        <v>0</v>
      </c>
      <c r="CV47">
        <f t="shared" si="94"/>
        <v>0</v>
      </c>
      <c r="CW47">
        <f t="shared" si="94"/>
        <v>0</v>
      </c>
      <c r="CX47">
        <f t="shared" si="94"/>
        <v>0</v>
      </c>
      <c r="CY47">
        <f t="shared" si="94"/>
        <v>0</v>
      </c>
      <c r="CZ47">
        <f t="shared" si="94"/>
        <v>0</v>
      </c>
      <c r="DA47">
        <f t="shared" si="94"/>
        <v>0</v>
      </c>
      <c r="DB47">
        <f t="shared" si="94"/>
        <v>0</v>
      </c>
      <c r="DC47">
        <f t="shared" si="94"/>
        <v>0</v>
      </c>
      <c r="DD47">
        <f t="shared" si="94"/>
        <v>0</v>
      </c>
      <c r="DE47">
        <f t="shared" si="94"/>
        <v>0</v>
      </c>
      <c r="DF47">
        <f t="shared" si="94"/>
        <v>0</v>
      </c>
      <c r="DG47">
        <f t="shared" si="94"/>
        <v>0</v>
      </c>
      <c r="DH47">
        <f t="shared" si="94"/>
        <v>0</v>
      </c>
      <c r="DI47">
        <f t="shared" si="94"/>
        <v>0</v>
      </c>
      <c r="DJ47">
        <f t="shared" si="94"/>
        <v>0</v>
      </c>
      <c r="DK47">
        <f t="shared" si="94"/>
        <v>0</v>
      </c>
      <c r="DL47">
        <f t="shared" si="94"/>
        <v>0</v>
      </c>
      <c r="DM47">
        <f t="shared" si="94"/>
        <v>0</v>
      </c>
      <c r="DN47">
        <f t="shared" si="94"/>
        <v>0</v>
      </c>
    </row>
    <row r="48" spans="1:118" x14ac:dyDescent="0.2">
      <c r="A48">
        <v>44</v>
      </c>
      <c r="B48">
        <v>63</v>
      </c>
      <c r="C48">
        <f t="shared" si="2"/>
        <v>0.11686133436193985</v>
      </c>
      <c r="D48">
        <f t="shared" si="3"/>
        <v>1.3656571468853103E-2</v>
      </c>
      <c r="E48">
        <v>1.788E-2</v>
      </c>
      <c r="F48">
        <f t="shared" si="0"/>
        <v>0.98211999999999999</v>
      </c>
      <c r="G48" s="34">
        <f t="shared" si="5"/>
        <v>0.79894301232595866</v>
      </c>
      <c r="H48" s="34"/>
      <c r="I48">
        <v>467.0391460656021</v>
      </c>
      <c r="J48">
        <v>63</v>
      </c>
      <c r="K48" s="38">
        <f t="shared" si="6"/>
        <v>467.03914606560261</v>
      </c>
      <c r="L48" s="22">
        <f t="shared" si="72"/>
        <v>382.57480236748847</v>
      </c>
      <c r="M48" s="23">
        <f t="shared" si="4"/>
        <v>439.52824054796787</v>
      </c>
      <c r="T48" s="60">
        <v>410.83</v>
      </c>
      <c r="U48">
        <v>1.788E-2</v>
      </c>
      <c r="V48">
        <v>2.1276595744680851E-2</v>
      </c>
      <c r="W48">
        <v>3.9210560847676823E-2</v>
      </c>
      <c r="Z48">
        <f t="shared" si="10"/>
        <v>1.5009999999999999E-2</v>
      </c>
      <c r="AA48">
        <f t="shared" si="11"/>
        <v>0.98499000000000003</v>
      </c>
      <c r="AB48" s="34">
        <f t="shared" si="15"/>
        <v>0.82703501454045192</v>
      </c>
      <c r="AC48">
        <f t="shared" ref="AC48:CN48" si="95">AB49/AB$3</f>
        <v>0.81432693774816001</v>
      </c>
      <c r="AD48">
        <f t="shared" si="95"/>
        <v>0.80061542445114109</v>
      </c>
      <c r="AE48">
        <f t="shared" si="95"/>
        <v>0.78585184839909383</v>
      </c>
      <c r="AF48">
        <f t="shared" si="95"/>
        <v>0.77028224666932099</v>
      </c>
      <c r="AG48">
        <f t="shared" si="95"/>
        <v>0.75293042096493012</v>
      </c>
      <c r="AH48">
        <f t="shared" si="95"/>
        <v>0.73467217110432959</v>
      </c>
      <c r="AI48">
        <f t="shared" si="95"/>
        <v>0.71516388960914379</v>
      </c>
      <c r="AJ48">
        <f t="shared" si="95"/>
        <v>0.69436787155087698</v>
      </c>
      <c r="AK48">
        <f t="shared" si="95"/>
        <v>0.67226319140887725</v>
      </c>
      <c r="AL48">
        <f t="shared" si="95"/>
        <v>0.64883422605843677</v>
      </c>
      <c r="AM48">
        <f t="shared" si="95"/>
        <v>0.62408225987961718</v>
      </c>
      <c r="AN48">
        <f t="shared" si="95"/>
        <v>0.59802231395229288</v>
      </c>
      <c r="AO48">
        <f t="shared" si="95"/>
        <v>0.57070006839548226</v>
      </c>
      <c r="AP48">
        <f t="shared" si="95"/>
        <v>0.54217106807196858</v>
      </c>
      <c r="AQ48">
        <f t="shared" si="95"/>
        <v>0.51252847195465845</v>
      </c>
      <c r="AR48">
        <f t="shared" si="95"/>
        <v>0.4818843032540357</v>
      </c>
      <c r="AS48">
        <f t="shared" si="95"/>
        <v>0.45038357860201972</v>
      </c>
      <c r="AT48">
        <f t="shared" si="95"/>
        <v>0.41820687423330699</v>
      </c>
      <c r="AU48">
        <f t="shared" si="95"/>
        <v>0.38556177735133629</v>
      </c>
      <c r="AV48">
        <f t="shared" si="95"/>
        <v>0.35268813232831892</v>
      </c>
      <c r="AW48">
        <f t="shared" si="95"/>
        <v>0.31985682196146115</v>
      </c>
      <c r="AX48">
        <f t="shared" si="95"/>
        <v>0.28735848084022375</v>
      </c>
      <c r="AY48">
        <f t="shared" si="95"/>
        <v>0.25550631536265916</v>
      </c>
      <c r="AZ48">
        <f t="shared" si="95"/>
        <v>0.22462434570159287</v>
      </c>
      <c r="BA48">
        <f t="shared" si="95"/>
        <v>0.19503712422348904</v>
      </c>
      <c r="BB48">
        <f t="shared" si="95"/>
        <v>0.16705634643202888</v>
      </c>
      <c r="BC48">
        <f t="shared" si="95"/>
        <v>0.14096663791815359</v>
      </c>
      <c r="BD48">
        <f t="shared" si="95"/>
        <v>0.11701899308766293</v>
      </c>
      <c r="BE48">
        <f t="shared" si="95"/>
        <v>9.5410185095385569E-2</v>
      </c>
      <c r="BF48">
        <f t="shared" si="95"/>
        <v>7.6274233176934214E-2</v>
      </c>
      <c r="BG48">
        <f t="shared" si="95"/>
        <v>5.9674029624071562E-2</v>
      </c>
      <c r="BH48">
        <f t="shared" si="95"/>
        <v>4.5593654108192286E-2</v>
      </c>
      <c r="BI48">
        <f t="shared" si="95"/>
        <v>3.3942600598736494E-2</v>
      </c>
      <c r="BJ48">
        <f t="shared" si="95"/>
        <v>2.4560006916372782E-2</v>
      </c>
      <c r="BK48">
        <f t="shared" si="95"/>
        <v>1.7224643876223179E-2</v>
      </c>
      <c r="BL48">
        <f t="shared" si="95"/>
        <v>1.1673700663852173E-2</v>
      </c>
      <c r="BM48">
        <f t="shared" si="95"/>
        <v>7.6201768332381141E-3</v>
      </c>
      <c r="BN48">
        <f t="shared" si="95"/>
        <v>4.7736821051981874E-3</v>
      </c>
      <c r="BO48">
        <f t="shared" si="95"/>
        <v>2.8585489613976887E-3</v>
      </c>
      <c r="BP48">
        <f t="shared" si="95"/>
        <v>1.629122193641462E-3</v>
      </c>
      <c r="BQ48">
        <f t="shared" si="95"/>
        <v>8.7942931200598044E-4</v>
      </c>
      <c r="BR48">
        <f t="shared" si="95"/>
        <v>4.4731710942051825E-4</v>
      </c>
      <c r="BS48">
        <f t="shared" si="95"/>
        <v>2.1315800362699551E-4</v>
      </c>
      <c r="BT48">
        <f t="shared" si="95"/>
        <v>9.4565912271736885E-5</v>
      </c>
      <c r="BU48">
        <f t="shared" si="95"/>
        <v>3.8788728926979041E-5</v>
      </c>
      <c r="BV48">
        <f t="shared" si="95"/>
        <v>1.459351246838052E-5</v>
      </c>
      <c r="BW48">
        <f t="shared" si="95"/>
        <v>5.0006755943714142E-6</v>
      </c>
      <c r="BX48">
        <f t="shared" si="95"/>
        <v>1.5451623724891898E-6</v>
      </c>
      <c r="BY48">
        <f t="shared" si="95"/>
        <v>4.261470124104116E-7</v>
      </c>
      <c r="BZ48">
        <f t="shared" si="95"/>
        <v>0</v>
      </c>
      <c r="CA48">
        <f t="shared" si="95"/>
        <v>0</v>
      </c>
      <c r="CB48">
        <f t="shared" si="95"/>
        <v>0</v>
      </c>
      <c r="CC48">
        <f t="shared" si="95"/>
        <v>0</v>
      </c>
      <c r="CD48">
        <f t="shared" si="95"/>
        <v>0</v>
      </c>
      <c r="CE48">
        <f t="shared" si="95"/>
        <v>0</v>
      </c>
      <c r="CF48">
        <f t="shared" si="95"/>
        <v>0</v>
      </c>
      <c r="CG48">
        <f t="shared" si="95"/>
        <v>0</v>
      </c>
      <c r="CH48">
        <f t="shared" si="95"/>
        <v>0</v>
      </c>
      <c r="CI48">
        <f t="shared" si="95"/>
        <v>0</v>
      </c>
      <c r="CJ48">
        <f t="shared" si="95"/>
        <v>0</v>
      </c>
      <c r="CK48">
        <f t="shared" si="95"/>
        <v>0</v>
      </c>
      <c r="CL48">
        <f t="shared" si="95"/>
        <v>0</v>
      </c>
      <c r="CM48">
        <f t="shared" si="95"/>
        <v>0</v>
      </c>
      <c r="CN48">
        <f t="shared" si="95"/>
        <v>0</v>
      </c>
      <c r="CO48">
        <f t="shared" ref="CO48:DN48" si="96">CN49/CN$3</f>
        <v>0</v>
      </c>
      <c r="CP48">
        <f t="shared" si="96"/>
        <v>0</v>
      </c>
      <c r="CQ48">
        <f t="shared" si="96"/>
        <v>0</v>
      </c>
      <c r="CR48">
        <f t="shared" si="96"/>
        <v>0</v>
      </c>
      <c r="CS48">
        <f t="shared" si="96"/>
        <v>0</v>
      </c>
      <c r="CT48">
        <f t="shared" si="96"/>
        <v>0</v>
      </c>
      <c r="CU48">
        <f t="shared" si="96"/>
        <v>0</v>
      </c>
      <c r="CV48">
        <f t="shared" si="96"/>
        <v>0</v>
      </c>
      <c r="CW48">
        <f t="shared" si="96"/>
        <v>0</v>
      </c>
      <c r="CX48">
        <f t="shared" si="96"/>
        <v>0</v>
      </c>
      <c r="CY48">
        <f t="shared" si="96"/>
        <v>0</v>
      </c>
      <c r="CZ48">
        <f t="shared" si="96"/>
        <v>0</v>
      </c>
      <c r="DA48">
        <f t="shared" si="96"/>
        <v>0</v>
      </c>
      <c r="DB48">
        <f t="shared" si="96"/>
        <v>0</v>
      </c>
      <c r="DC48">
        <f t="shared" si="96"/>
        <v>0</v>
      </c>
      <c r="DD48">
        <f t="shared" si="96"/>
        <v>0</v>
      </c>
      <c r="DE48">
        <f t="shared" si="96"/>
        <v>0</v>
      </c>
      <c r="DF48">
        <f t="shared" si="96"/>
        <v>0</v>
      </c>
      <c r="DG48">
        <f t="shared" si="96"/>
        <v>0</v>
      </c>
      <c r="DH48">
        <f t="shared" si="96"/>
        <v>0</v>
      </c>
      <c r="DI48">
        <f t="shared" si="96"/>
        <v>0</v>
      </c>
      <c r="DJ48">
        <f t="shared" si="96"/>
        <v>0</v>
      </c>
      <c r="DK48">
        <f t="shared" si="96"/>
        <v>0</v>
      </c>
      <c r="DL48">
        <f t="shared" si="96"/>
        <v>0</v>
      </c>
      <c r="DM48">
        <f t="shared" si="96"/>
        <v>0</v>
      </c>
      <c r="DN48">
        <f t="shared" si="96"/>
        <v>0</v>
      </c>
    </row>
    <row r="49" spans="1:118" x14ac:dyDescent="0.2">
      <c r="A49">
        <v>45</v>
      </c>
      <c r="B49">
        <v>64</v>
      </c>
      <c r="C49">
        <f t="shared" si="2"/>
        <v>0.11129650891613319</v>
      </c>
      <c r="D49">
        <f t="shared" si="3"/>
        <v>1.2386912896918914E-2</v>
      </c>
      <c r="E49">
        <v>1.9519999999999999E-2</v>
      </c>
      <c r="F49">
        <f t="shared" si="0"/>
        <v>0.98048000000000002</v>
      </c>
      <c r="G49" s="34">
        <f t="shared" si="5"/>
        <v>0.78334764472535601</v>
      </c>
      <c r="H49" s="34"/>
      <c r="I49">
        <v>481.11341116043047</v>
      </c>
      <c r="J49">
        <v>64</v>
      </c>
      <c r="K49" s="38">
        <f t="shared" si="6"/>
        <v>481.11341116043121</v>
      </c>
      <c r="L49" s="22">
        <f t="shared" si="72"/>
        <v>388.69709775729473</v>
      </c>
      <c r="M49" s="23">
        <f t="shared" si="4"/>
        <v>439.52824054796787</v>
      </c>
      <c r="T49" s="60">
        <v>425.2</v>
      </c>
      <c r="U49">
        <v>1.9519999999999999E-2</v>
      </c>
      <c r="V49">
        <v>2.1739130434782608E-2</v>
      </c>
      <c r="W49">
        <v>3.9210560847676823E-2</v>
      </c>
      <c r="Z49">
        <f t="shared" si="10"/>
        <v>1.6379999999999999E-2</v>
      </c>
      <c r="AA49">
        <f t="shared" si="11"/>
        <v>0.98362000000000005</v>
      </c>
      <c r="AB49" s="34">
        <f t="shared" si="15"/>
        <v>0.81348818100227938</v>
      </c>
      <c r="AC49">
        <f t="shared" ref="AC49:CN49" si="97">AB50/AB$3</f>
        <v>0.79976677210122293</v>
      </c>
      <c r="AD49">
        <f t="shared" si="97"/>
        <v>0.78498741136585481</v>
      </c>
      <c r="AE49">
        <f t="shared" si="97"/>
        <v>0.7694118277305847</v>
      </c>
      <c r="AF49">
        <f t="shared" si="97"/>
        <v>0.75204196306819149</v>
      </c>
      <c r="AG49">
        <f t="shared" si="97"/>
        <v>0.73377587105558228</v>
      </c>
      <c r="AH49">
        <f t="shared" si="97"/>
        <v>0.71425563146934024</v>
      </c>
      <c r="AI49">
        <f t="shared" si="97"/>
        <v>0.69344436228171424</v>
      </c>
      <c r="AJ49">
        <f t="shared" si="97"/>
        <v>0.67132874557281885</v>
      </c>
      <c r="AK49">
        <f t="shared" si="97"/>
        <v>0.64788692808839143</v>
      </c>
      <c r="AL49">
        <f t="shared" si="97"/>
        <v>0.62312741402200134</v>
      </c>
      <c r="AM49">
        <f t="shared" si="97"/>
        <v>0.59705949802682967</v>
      </c>
      <c r="AN49">
        <f t="shared" si="97"/>
        <v>0.56972987827920996</v>
      </c>
      <c r="AO49">
        <f t="shared" si="97"/>
        <v>0.54120058186011977</v>
      </c>
      <c r="AP49">
        <f t="shared" si="97"/>
        <v>0.51155466785794457</v>
      </c>
      <c r="AQ49">
        <f t="shared" si="97"/>
        <v>0.4809157158044951</v>
      </c>
      <c r="AR49">
        <f t="shared" si="97"/>
        <v>0.44941975774381138</v>
      </c>
      <c r="AS49">
        <f t="shared" si="97"/>
        <v>0.41725336256005507</v>
      </c>
      <c r="AT49">
        <f t="shared" si="97"/>
        <v>0.38462486223237252</v>
      </c>
      <c r="AU49">
        <f t="shared" si="97"/>
        <v>0.35177114318426528</v>
      </c>
      <c r="AV49">
        <f t="shared" si="97"/>
        <v>0.31896761999640827</v>
      </c>
      <c r="AW49">
        <f t="shared" si="97"/>
        <v>0.28650215256731987</v>
      </c>
      <c r="AX49">
        <f t="shared" si="97"/>
        <v>0.25468869515349868</v>
      </c>
      <c r="AY49">
        <f t="shared" si="97"/>
        <v>0.22385163795237939</v>
      </c>
      <c r="AZ49">
        <f t="shared" si="97"/>
        <v>0.1943135364926199</v>
      </c>
      <c r="BA49">
        <f t="shared" si="97"/>
        <v>0.16638812104630077</v>
      </c>
      <c r="BB49">
        <f t="shared" si="97"/>
        <v>0.14035907170872633</v>
      </c>
      <c r="BC49">
        <f t="shared" si="97"/>
        <v>0.11647368457987442</v>
      </c>
      <c r="BD49">
        <f t="shared" si="97"/>
        <v>9.4929317762504822E-2</v>
      </c>
      <c r="BE49">
        <f t="shared" si="97"/>
        <v>7.5857775863788154E-2</v>
      </c>
      <c r="BF49">
        <f t="shared" si="97"/>
        <v>5.9320759368697053E-2</v>
      </c>
      <c r="BG49">
        <f t="shared" si="97"/>
        <v>4.5300942848817694E-2</v>
      </c>
      <c r="BH49">
        <f t="shared" si="97"/>
        <v>3.37060206725633E-2</v>
      </c>
      <c r="BI49">
        <f t="shared" si="97"/>
        <v>2.4373842063946674E-2</v>
      </c>
      <c r="BJ49">
        <f t="shared" si="97"/>
        <v>1.70827128106831E-2</v>
      </c>
      <c r="BK49">
        <f t="shared" si="97"/>
        <v>1.1569104305904057E-2</v>
      </c>
      <c r="BL49">
        <f t="shared" si="97"/>
        <v>7.5458801091140421E-3</v>
      </c>
      <c r="BM49">
        <f t="shared" si="97"/>
        <v>4.7229856012409831E-3</v>
      </c>
      <c r="BN49">
        <f t="shared" si="97"/>
        <v>2.8254469644247034E-3</v>
      </c>
      <c r="BO49">
        <f t="shared" si="97"/>
        <v>1.6085626715577068E-3</v>
      </c>
      <c r="BP49">
        <f t="shared" si="97"/>
        <v>8.673283646727782E-4</v>
      </c>
      <c r="BQ49">
        <f t="shared" si="97"/>
        <v>4.4060287960811628E-4</v>
      </c>
      <c r="BR49">
        <f t="shared" si="97"/>
        <v>2.0966647552758533E-4</v>
      </c>
      <c r="BS49">
        <f t="shared" si="97"/>
        <v>9.2875073760318228E-5</v>
      </c>
      <c r="BT49">
        <f t="shared" si="97"/>
        <v>3.803157293832441E-5</v>
      </c>
      <c r="BU49">
        <f t="shared" si="97"/>
        <v>1.4288216187541999E-5</v>
      </c>
      <c r="BV49">
        <f t="shared" si="97"/>
        <v>4.8822595962966989E-6</v>
      </c>
      <c r="BW49">
        <f t="shared" si="97"/>
        <v>1.5058534417330647E-6</v>
      </c>
      <c r="BX49">
        <f t="shared" si="97"/>
        <v>4.1430438693552626E-7</v>
      </c>
      <c r="BY49">
        <f t="shared" si="97"/>
        <v>0</v>
      </c>
      <c r="BZ49">
        <f t="shared" si="97"/>
        <v>0</v>
      </c>
      <c r="CA49">
        <f t="shared" si="97"/>
        <v>0</v>
      </c>
      <c r="CB49">
        <f t="shared" si="97"/>
        <v>0</v>
      </c>
      <c r="CC49">
        <f t="shared" si="97"/>
        <v>0</v>
      </c>
      <c r="CD49">
        <f t="shared" si="97"/>
        <v>0</v>
      </c>
      <c r="CE49">
        <f t="shared" si="97"/>
        <v>0</v>
      </c>
      <c r="CF49">
        <f t="shared" si="97"/>
        <v>0</v>
      </c>
      <c r="CG49">
        <f t="shared" si="97"/>
        <v>0</v>
      </c>
      <c r="CH49">
        <f t="shared" si="97"/>
        <v>0</v>
      </c>
      <c r="CI49">
        <f t="shared" si="97"/>
        <v>0</v>
      </c>
      <c r="CJ49">
        <f t="shared" si="97"/>
        <v>0</v>
      </c>
      <c r="CK49">
        <f t="shared" si="97"/>
        <v>0</v>
      </c>
      <c r="CL49">
        <f t="shared" si="97"/>
        <v>0</v>
      </c>
      <c r="CM49">
        <f t="shared" si="97"/>
        <v>0</v>
      </c>
      <c r="CN49">
        <f t="shared" si="97"/>
        <v>0</v>
      </c>
      <c r="CO49">
        <f t="shared" ref="CO49:DN49" si="98">CN50/CN$3</f>
        <v>0</v>
      </c>
      <c r="CP49">
        <f t="shared" si="98"/>
        <v>0</v>
      </c>
      <c r="CQ49">
        <f t="shared" si="98"/>
        <v>0</v>
      </c>
      <c r="CR49">
        <f t="shared" si="98"/>
        <v>0</v>
      </c>
      <c r="CS49">
        <f t="shared" si="98"/>
        <v>0</v>
      </c>
      <c r="CT49">
        <f t="shared" si="98"/>
        <v>0</v>
      </c>
      <c r="CU49">
        <f t="shared" si="98"/>
        <v>0</v>
      </c>
      <c r="CV49">
        <f t="shared" si="98"/>
        <v>0</v>
      </c>
      <c r="CW49">
        <f t="shared" si="98"/>
        <v>0</v>
      </c>
      <c r="CX49">
        <f t="shared" si="98"/>
        <v>0</v>
      </c>
      <c r="CY49">
        <f t="shared" si="98"/>
        <v>0</v>
      </c>
      <c r="CZ49">
        <f t="shared" si="98"/>
        <v>0</v>
      </c>
      <c r="DA49">
        <f t="shared" si="98"/>
        <v>0</v>
      </c>
      <c r="DB49">
        <f t="shared" si="98"/>
        <v>0</v>
      </c>
      <c r="DC49">
        <f t="shared" si="98"/>
        <v>0</v>
      </c>
      <c r="DD49">
        <f t="shared" si="98"/>
        <v>0</v>
      </c>
      <c r="DE49">
        <f t="shared" si="98"/>
        <v>0</v>
      </c>
      <c r="DF49">
        <f t="shared" si="98"/>
        <v>0</v>
      </c>
      <c r="DG49">
        <f t="shared" si="98"/>
        <v>0</v>
      </c>
      <c r="DH49">
        <f t="shared" si="98"/>
        <v>0</v>
      </c>
      <c r="DI49">
        <f t="shared" si="98"/>
        <v>0</v>
      </c>
      <c r="DJ49">
        <f t="shared" si="98"/>
        <v>0</v>
      </c>
      <c r="DK49">
        <f t="shared" si="98"/>
        <v>0</v>
      </c>
      <c r="DL49">
        <f t="shared" si="98"/>
        <v>0</v>
      </c>
      <c r="DM49">
        <f t="shared" si="98"/>
        <v>0</v>
      </c>
      <c r="DN49">
        <f t="shared" si="98"/>
        <v>0</v>
      </c>
    </row>
    <row r="50" spans="1:118" x14ac:dyDescent="0.2">
      <c r="A50">
        <v>46</v>
      </c>
      <c r="B50">
        <v>65</v>
      </c>
      <c r="C50">
        <f t="shared" si="2"/>
        <v>0.10599667515822207</v>
      </c>
      <c r="D50">
        <f t="shared" si="3"/>
        <v>1.1235295144597653E-2</v>
      </c>
      <c r="E50">
        <v>2.0920000000000001E-2</v>
      </c>
      <c r="F50">
        <f t="shared" si="0"/>
        <v>0.97907999999999995</v>
      </c>
      <c r="G50" s="34">
        <f t="shared" si="5"/>
        <v>0.76696001199770147</v>
      </c>
      <c r="H50" s="34"/>
      <c r="I50">
        <v>495.31768288843449</v>
      </c>
      <c r="J50">
        <v>65</v>
      </c>
      <c r="K50" s="38">
        <f t="shared" si="6"/>
        <v>495.317682888435</v>
      </c>
      <c r="L50" s="22">
        <f t="shared" si="72"/>
        <v>394.97932937060745</v>
      </c>
      <c r="M50" s="23">
        <f t="shared" si="4"/>
        <v>439.52824054796787</v>
      </c>
      <c r="T50" s="58">
        <v>439.78</v>
      </c>
      <c r="U50">
        <v>2.0920000000000001E-2</v>
      </c>
      <c r="V50">
        <v>2.2222222222222223E-2</v>
      </c>
      <c r="W50">
        <v>3.9210560847676823E-2</v>
      </c>
      <c r="Z50">
        <f t="shared" si="10"/>
        <v>1.788E-2</v>
      </c>
      <c r="AA50">
        <f t="shared" si="11"/>
        <v>0.98211999999999999</v>
      </c>
      <c r="AB50" s="34">
        <f t="shared" si="15"/>
        <v>0.79894301232595866</v>
      </c>
      <c r="AC50">
        <f t="shared" ref="AC50:CN50" si="99">AB51/AB$3</f>
        <v>0.78415532470980709</v>
      </c>
      <c r="AD50">
        <f t="shared" si="99"/>
        <v>0.76856547472008108</v>
      </c>
      <c r="AE50">
        <f t="shared" si="99"/>
        <v>0.75119215564992448</v>
      </c>
      <c r="AF50">
        <f t="shared" si="99"/>
        <v>0.73291001552773671</v>
      </c>
      <c r="AG50">
        <f t="shared" si="99"/>
        <v>0.71338423959894759</v>
      </c>
      <c r="AH50">
        <f t="shared" si="99"/>
        <v>0.69256368794161649</v>
      </c>
      <c r="AI50">
        <f t="shared" si="99"/>
        <v>0.67043587834120699</v>
      </c>
      <c r="AJ50">
        <f t="shared" si="99"/>
        <v>0.64698636525834852</v>
      </c>
      <c r="AK50">
        <f t="shared" si="99"/>
        <v>0.62221764799752921</v>
      </c>
      <c r="AL50">
        <f t="shared" si="99"/>
        <v>0.5961459969948486</v>
      </c>
      <c r="AM50">
        <f t="shared" si="99"/>
        <v>0.56881261317518039</v>
      </c>
      <c r="AN50">
        <f t="shared" si="99"/>
        <v>0.54028054087095756</v>
      </c>
      <c r="AO50">
        <f t="shared" si="99"/>
        <v>0.51063898500247884</v>
      </c>
      <c r="AP50">
        <f t="shared" si="99"/>
        <v>0.48000197594446653</v>
      </c>
      <c r="AQ50">
        <f t="shared" si="99"/>
        <v>0.44851642403074632</v>
      </c>
      <c r="AR50">
        <f t="shared" si="99"/>
        <v>0.41636044036417652</v>
      </c>
      <c r="AS50">
        <f t="shared" si="99"/>
        <v>0.38374791754648274</v>
      </c>
      <c r="AT50">
        <f t="shared" si="99"/>
        <v>0.35091633930632748</v>
      </c>
      <c r="AU50">
        <f t="shared" si="99"/>
        <v>0.31813830418441758</v>
      </c>
      <c r="AV50">
        <f t="shared" si="99"/>
        <v>0.28570567658318274</v>
      </c>
      <c r="AW50">
        <f t="shared" si="99"/>
        <v>0.25392972284194126</v>
      </c>
      <c r="AX50">
        <f t="shared" si="99"/>
        <v>0.22313531271093179</v>
      </c>
      <c r="AY50">
        <f t="shared" si="99"/>
        <v>0.19364509792708529</v>
      </c>
      <c r="AZ50">
        <f t="shared" si="99"/>
        <v>0.165770821117219</v>
      </c>
      <c r="BA50">
        <f t="shared" si="99"/>
        <v>0.13979763542189141</v>
      </c>
      <c r="BB50">
        <f t="shared" si="99"/>
        <v>0.11597168299933516</v>
      </c>
      <c r="BC50">
        <f t="shared" si="99"/>
        <v>9.4486947141731545E-2</v>
      </c>
      <c r="BD50">
        <f t="shared" si="99"/>
        <v>7.5475452673434654E-2</v>
      </c>
      <c r="BE50">
        <f t="shared" si="99"/>
        <v>5.8996868022543968E-2</v>
      </c>
      <c r="BF50">
        <f t="shared" si="99"/>
        <v>4.5032761267152693E-2</v>
      </c>
      <c r="BG50">
        <f t="shared" si="99"/>
        <v>3.3489628019845445E-2</v>
      </c>
      <c r="BH50">
        <f t="shared" si="99"/>
        <v>2.4203956384760965E-2</v>
      </c>
      <c r="BI50">
        <f t="shared" si="99"/>
        <v>1.6953225847578121E-2</v>
      </c>
      <c r="BJ50">
        <f t="shared" si="99"/>
        <v>1.1473774886423408E-2</v>
      </c>
      <c r="BK50">
        <f t="shared" si="99"/>
        <v>7.4782690233363806E-3</v>
      </c>
      <c r="BL50">
        <f t="shared" si="99"/>
        <v>4.676936491628883E-3</v>
      </c>
      <c r="BM50">
        <f t="shared" si="99"/>
        <v>2.7954407176625133E-3</v>
      </c>
      <c r="BN50">
        <f t="shared" si="99"/>
        <v>1.5899355158210686E-3</v>
      </c>
      <c r="BO50">
        <f t="shared" si="99"/>
        <v>8.5638268071060771E-4</v>
      </c>
      <c r="BP50">
        <f t="shared" si="99"/>
        <v>4.3454018398470862E-4</v>
      </c>
      <c r="BQ50">
        <f t="shared" si="99"/>
        <v>2.0651938172991629E-4</v>
      </c>
      <c r="BR50">
        <f t="shared" si="99"/>
        <v>9.1353780052124217E-5</v>
      </c>
      <c r="BS50">
        <f t="shared" si="99"/>
        <v>3.7351568414187167E-5</v>
      </c>
      <c r="BT50">
        <f t="shared" si="99"/>
        <v>1.4009310207561179E-5</v>
      </c>
      <c r="BU50">
        <f t="shared" si="99"/>
        <v>4.7801227255421718E-6</v>
      </c>
      <c r="BV50">
        <f t="shared" si="99"/>
        <v>1.4701948322328257E-6</v>
      </c>
      <c r="BW50">
        <f t="shared" si="99"/>
        <v>4.0376448333188648E-7</v>
      </c>
      <c r="BX50">
        <f t="shared" si="99"/>
        <v>0</v>
      </c>
      <c r="BY50">
        <f t="shared" si="99"/>
        <v>0</v>
      </c>
      <c r="BZ50">
        <f t="shared" si="99"/>
        <v>0</v>
      </c>
      <c r="CA50">
        <f t="shared" si="99"/>
        <v>0</v>
      </c>
      <c r="CB50">
        <f t="shared" si="99"/>
        <v>0</v>
      </c>
      <c r="CC50">
        <f t="shared" si="99"/>
        <v>0</v>
      </c>
      <c r="CD50">
        <f t="shared" si="99"/>
        <v>0</v>
      </c>
      <c r="CE50">
        <f t="shared" si="99"/>
        <v>0</v>
      </c>
      <c r="CF50">
        <f t="shared" si="99"/>
        <v>0</v>
      </c>
      <c r="CG50">
        <f t="shared" si="99"/>
        <v>0</v>
      </c>
      <c r="CH50">
        <f t="shared" si="99"/>
        <v>0</v>
      </c>
      <c r="CI50">
        <f t="shared" si="99"/>
        <v>0</v>
      </c>
      <c r="CJ50">
        <f t="shared" si="99"/>
        <v>0</v>
      </c>
      <c r="CK50">
        <f t="shared" si="99"/>
        <v>0</v>
      </c>
      <c r="CL50">
        <f t="shared" si="99"/>
        <v>0</v>
      </c>
      <c r="CM50">
        <f t="shared" si="99"/>
        <v>0</v>
      </c>
      <c r="CN50">
        <f t="shared" si="99"/>
        <v>0</v>
      </c>
      <c r="CO50">
        <f t="shared" ref="CO50:DN50" si="100">CN51/CN$3</f>
        <v>0</v>
      </c>
      <c r="CP50">
        <f t="shared" si="100"/>
        <v>0</v>
      </c>
      <c r="CQ50">
        <f t="shared" si="100"/>
        <v>0</v>
      </c>
      <c r="CR50">
        <f t="shared" si="100"/>
        <v>0</v>
      </c>
      <c r="CS50">
        <f t="shared" si="100"/>
        <v>0</v>
      </c>
      <c r="CT50">
        <f t="shared" si="100"/>
        <v>0</v>
      </c>
      <c r="CU50">
        <f t="shared" si="100"/>
        <v>0</v>
      </c>
      <c r="CV50">
        <f t="shared" si="100"/>
        <v>0</v>
      </c>
      <c r="CW50">
        <f t="shared" si="100"/>
        <v>0</v>
      </c>
      <c r="CX50">
        <f t="shared" si="100"/>
        <v>0</v>
      </c>
      <c r="CY50">
        <f t="shared" si="100"/>
        <v>0</v>
      </c>
      <c r="CZ50">
        <f t="shared" si="100"/>
        <v>0</v>
      </c>
      <c r="DA50">
        <f t="shared" si="100"/>
        <v>0</v>
      </c>
      <c r="DB50">
        <f t="shared" si="100"/>
        <v>0</v>
      </c>
      <c r="DC50">
        <f t="shared" si="100"/>
        <v>0</v>
      </c>
      <c r="DD50">
        <f t="shared" si="100"/>
        <v>0</v>
      </c>
      <c r="DE50">
        <f t="shared" si="100"/>
        <v>0</v>
      </c>
      <c r="DF50">
        <f t="shared" si="100"/>
        <v>0</v>
      </c>
      <c r="DG50">
        <f t="shared" si="100"/>
        <v>0</v>
      </c>
      <c r="DH50">
        <f t="shared" si="100"/>
        <v>0</v>
      </c>
      <c r="DI50">
        <f t="shared" si="100"/>
        <v>0</v>
      </c>
      <c r="DJ50">
        <f t="shared" si="100"/>
        <v>0</v>
      </c>
      <c r="DK50">
        <f t="shared" si="100"/>
        <v>0</v>
      </c>
      <c r="DL50">
        <f t="shared" si="100"/>
        <v>0</v>
      </c>
      <c r="DM50">
        <f t="shared" si="100"/>
        <v>0</v>
      </c>
      <c r="DN50">
        <f t="shared" si="100"/>
        <v>0</v>
      </c>
    </row>
    <row r="51" spans="1:118" x14ac:dyDescent="0.2">
      <c r="A51">
        <v>47</v>
      </c>
      <c r="B51">
        <v>66</v>
      </c>
      <c r="C51">
        <f t="shared" si="2"/>
        <v>0.10094921443640198</v>
      </c>
      <c r="D51">
        <f t="shared" si="3"/>
        <v>1.0190743895326669E-2</v>
      </c>
      <c r="E51">
        <v>2.368E-2</v>
      </c>
      <c r="F51">
        <f t="shared" si="0"/>
        <v>0.97631999999999997</v>
      </c>
      <c r="G51" s="34">
        <f t="shared" si="5"/>
        <v>0.7487983989135959</v>
      </c>
      <c r="H51" s="34"/>
      <c r="I51">
        <v>509.82919376645043</v>
      </c>
      <c r="J51">
        <v>66</v>
      </c>
      <c r="K51" s="38">
        <f t="shared" si="6"/>
        <v>509.829193766451</v>
      </c>
      <c r="L51" s="22">
        <f t="shared" si="72"/>
        <v>401.42666619911813</v>
      </c>
      <c r="M51" s="23">
        <f t="shared" si="4"/>
        <v>439.52824054796787</v>
      </c>
      <c r="T51" s="59">
        <v>454.75</v>
      </c>
      <c r="U51">
        <v>2.368E-2</v>
      </c>
      <c r="V51">
        <v>2.2727272727272728E-2</v>
      </c>
      <c r="W51">
        <v>3.9210560847676823E-2</v>
      </c>
      <c r="Z51">
        <f t="shared" si="10"/>
        <v>1.9519999999999999E-2</v>
      </c>
      <c r="AA51">
        <f t="shared" si="11"/>
        <v>0.98048000000000002</v>
      </c>
      <c r="AB51" s="34">
        <f t="shared" si="15"/>
        <v>0.78334764472535601</v>
      </c>
      <c r="AC51">
        <f t="shared" ref="AC51:CN51" si="101">AB52/AB$3</f>
        <v>0.76775079531687784</v>
      </c>
      <c r="AD51">
        <f t="shared" si="101"/>
        <v>0.75036584427870956</v>
      </c>
      <c r="AE51">
        <f t="shared" si="101"/>
        <v>0.73208182721019044</v>
      </c>
      <c r="AF51">
        <f t="shared" si="101"/>
        <v>0.71254244619622087</v>
      </c>
      <c r="AG51">
        <f t="shared" si="101"/>
        <v>0.6917187602423277</v>
      </c>
      <c r="AH51">
        <f t="shared" si="101"/>
        <v>0.66958442477571367</v>
      </c>
      <c r="AI51">
        <f t="shared" si="101"/>
        <v>0.64612587339255489</v>
      </c>
      <c r="AJ51">
        <f t="shared" si="101"/>
        <v>0.62135276546681262</v>
      </c>
      <c r="AK51">
        <f t="shared" si="101"/>
        <v>0.59527562383923616</v>
      </c>
      <c r="AL51">
        <f t="shared" si="101"/>
        <v>0.56794232987702231</v>
      </c>
      <c r="AM51">
        <f t="shared" si="101"/>
        <v>0.53941068920015534</v>
      </c>
      <c r="AN51">
        <f t="shared" si="101"/>
        <v>0.50977089872797465</v>
      </c>
      <c r="AO51">
        <f t="shared" si="101"/>
        <v>0.47914277240752595</v>
      </c>
      <c r="AP51">
        <f t="shared" si="101"/>
        <v>0.44766424282508788</v>
      </c>
      <c r="AQ51">
        <f t="shared" si="101"/>
        <v>0.41552355587904455</v>
      </c>
      <c r="AR51">
        <f t="shared" si="101"/>
        <v>0.38292669700293325</v>
      </c>
      <c r="AS51">
        <f t="shared" si="101"/>
        <v>0.35011625005270908</v>
      </c>
      <c r="AT51">
        <f t="shared" si="101"/>
        <v>0.31736522810524942</v>
      </c>
      <c r="AU51">
        <f t="shared" si="101"/>
        <v>0.28496284182406645</v>
      </c>
      <c r="AV51">
        <f t="shared" si="101"/>
        <v>0.25322379821244068</v>
      </c>
      <c r="AW51">
        <f t="shared" si="101"/>
        <v>0.22247036947905321</v>
      </c>
      <c r="AX51">
        <f t="shared" si="101"/>
        <v>0.19302543361371863</v>
      </c>
      <c r="AY51">
        <f t="shared" si="101"/>
        <v>0.16520056949257578</v>
      </c>
      <c r="AZ51">
        <f t="shared" si="101"/>
        <v>0.13927898619447621</v>
      </c>
      <c r="BA51">
        <f t="shared" si="101"/>
        <v>0.11550779626733783</v>
      </c>
      <c r="BB51">
        <f t="shared" si="101"/>
        <v>9.4079708399550682E-2</v>
      </c>
      <c r="BC51">
        <f t="shared" si="101"/>
        <v>7.5123737063976445E-2</v>
      </c>
      <c r="BD51">
        <f t="shared" si="101"/>
        <v>5.8699523807710347E-2</v>
      </c>
      <c r="BE51">
        <f t="shared" si="101"/>
        <v>4.4786882390634039E-2</v>
      </c>
      <c r="BF51">
        <f t="shared" si="101"/>
        <v>3.3291369421967962E-2</v>
      </c>
      <c r="BG51">
        <f t="shared" si="101"/>
        <v>2.40485669847708E-2</v>
      </c>
      <c r="BH51">
        <f t="shared" si="101"/>
        <v>1.68350618634205E-2</v>
      </c>
      <c r="BI51">
        <f t="shared" si="101"/>
        <v>1.1386803672784319E-2</v>
      </c>
      <c r="BJ51">
        <f t="shared" si="101"/>
        <v>7.4166480865840885E-3</v>
      </c>
      <c r="BK51">
        <f t="shared" si="101"/>
        <v>4.635031140663888E-3</v>
      </c>
      <c r="BL51">
        <f t="shared" si="101"/>
        <v>2.7681851706653038E-3</v>
      </c>
      <c r="BM51">
        <f t="shared" si="101"/>
        <v>1.573050400643049E-3</v>
      </c>
      <c r="BN51">
        <f t="shared" si="101"/>
        <v>8.4646576926797887E-4</v>
      </c>
      <c r="BO51">
        <f t="shared" si="101"/>
        <v>4.2905628686282162E-4</v>
      </c>
      <c r="BP51">
        <f t="shared" si="101"/>
        <v>2.0367767503731265E-4</v>
      </c>
      <c r="BQ51">
        <f t="shared" si="101"/>
        <v>8.998255981354183E-5</v>
      </c>
      <c r="BR51">
        <f t="shared" si="101"/>
        <v>3.6739749723562781E-5</v>
      </c>
      <c r="BS51">
        <f t="shared" si="101"/>
        <v>1.3758823741049985E-5</v>
      </c>
      <c r="BT51">
        <f t="shared" si="101"/>
        <v>4.6868147299395884E-6</v>
      </c>
      <c r="BU51">
        <f t="shared" si="101"/>
        <v>1.4394383563425149E-6</v>
      </c>
      <c r="BV51">
        <f t="shared" si="101"/>
        <v>3.942033403665874E-7</v>
      </c>
      <c r="BW51">
        <f t="shared" si="101"/>
        <v>0</v>
      </c>
      <c r="BX51">
        <f t="shared" si="101"/>
        <v>0</v>
      </c>
      <c r="BY51">
        <f t="shared" si="101"/>
        <v>0</v>
      </c>
      <c r="BZ51">
        <f t="shared" si="101"/>
        <v>0</v>
      </c>
      <c r="CA51">
        <f t="shared" si="101"/>
        <v>0</v>
      </c>
      <c r="CB51">
        <f t="shared" si="101"/>
        <v>0</v>
      </c>
      <c r="CC51">
        <f t="shared" si="101"/>
        <v>0</v>
      </c>
      <c r="CD51">
        <f t="shared" si="101"/>
        <v>0</v>
      </c>
      <c r="CE51">
        <f t="shared" si="101"/>
        <v>0</v>
      </c>
      <c r="CF51">
        <f t="shared" si="101"/>
        <v>0</v>
      </c>
      <c r="CG51">
        <f t="shared" si="101"/>
        <v>0</v>
      </c>
      <c r="CH51">
        <f t="shared" si="101"/>
        <v>0</v>
      </c>
      <c r="CI51">
        <f t="shared" si="101"/>
        <v>0</v>
      </c>
      <c r="CJ51">
        <f t="shared" si="101"/>
        <v>0</v>
      </c>
      <c r="CK51">
        <f t="shared" si="101"/>
        <v>0</v>
      </c>
      <c r="CL51">
        <f t="shared" si="101"/>
        <v>0</v>
      </c>
      <c r="CM51">
        <f t="shared" si="101"/>
        <v>0</v>
      </c>
      <c r="CN51">
        <f t="shared" si="101"/>
        <v>0</v>
      </c>
      <c r="CO51">
        <f t="shared" ref="CO51:DN51" si="102">CN52/CN$3</f>
        <v>0</v>
      </c>
      <c r="CP51">
        <f t="shared" si="102"/>
        <v>0</v>
      </c>
      <c r="CQ51">
        <f t="shared" si="102"/>
        <v>0</v>
      </c>
      <c r="CR51">
        <f t="shared" si="102"/>
        <v>0</v>
      </c>
      <c r="CS51">
        <f t="shared" si="102"/>
        <v>0</v>
      </c>
      <c r="CT51">
        <f t="shared" si="102"/>
        <v>0</v>
      </c>
      <c r="CU51">
        <f t="shared" si="102"/>
        <v>0</v>
      </c>
      <c r="CV51">
        <f t="shared" si="102"/>
        <v>0</v>
      </c>
      <c r="CW51">
        <f t="shared" si="102"/>
        <v>0</v>
      </c>
      <c r="CX51">
        <f t="shared" si="102"/>
        <v>0</v>
      </c>
      <c r="CY51">
        <f t="shared" si="102"/>
        <v>0</v>
      </c>
      <c r="CZ51">
        <f t="shared" si="102"/>
        <v>0</v>
      </c>
      <c r="DA51">
        <f t="shared" si="102"/>
        <v>0</v>
      </c>
      <c r="DB51">
        <f t="shared" si="102"/>
        <v>0</v>
      </c>
      <c r="DC51">
        <f t="shared" si="102"/>
        <v>0</v>
      </c>
      <c r="DD51">
        <f t="shared" si="102"/>
        <v>0</v>
      </c>
      <c r="DE51">
        <f t="shared" si="102"/>
        <v>0</v>
      </c>
      <c r="DF51">
        <f t="shared" si="102"/>
        <v>0</v>
      </c>
      <c r="DG51">
        <f t="shared" si="102"/>
        <v>0</v>
      </c>
      <c r="DH51">
        <f t="shared" si="102"/>
        <v>0</v>
      </c>
      <c r="DI51">
        <f t="shared" si="102"/>
        <v>0</v>
      </c>
      <c r="DJ51">
        <f t="shared" si="102"/>
        <v>0</v>
      </c>
      <c r="DK51">
        <f t="shared" si="102"/>
        <v>0</v>
      </c>
      <c r="DL51">
        <f t="shared" si="102"/>
        <v>0</v>
      </c>
      <c r="DM51">
        <f t="shared" si="102"/>
        <v>0</v>
      </c>
      <c r="DN51">
        <f t="shared" si="102"/>
        <v>0</v>
      </c>
    </row>
    <row r="52" spans="1:118" x14ac:dyDescent="0.2">
      <c r="A52">
        <v>48</v>
      </c>
      <c r="B52">
        <v>67</v>
      </c>
      <c r="C52">
        <f t="shared" si="2"/>
        <v>9.6142108987049502E-2</v>
      </c>
      <c r="D52">
        <f t="shared" si="3"/>
        <v>9.2433051204777045E-3</v>
      </c>
      <c r="E52">
        <v>2.5440000000000001E-2</v>
      </c>
      <c r="F52">
        <f t="shared" si="0"/>
        <v>0.97455999999999998</v>
      </c>
      <c r="G52" s="34">
        <f t="shared" si="5"/>
        <v>0.729748967645234</v>
      </c>
      <c r="H52" s="34"/>
      <c r="I52">
        <v>524.05016127373494</v>
      </c>
      <c r="J52">
        <v>67</v>
      </c>
      <c r="K52" s="38">
        <f t="shared" si="6"/>
        <v>524.05016127373563</v>
      </c>
      <c r="L52" s="22">
        <f t="shared" si="72"/>
        <v>408.04446461393621</v>
      </c>
      <c r="M52" s="23">
        <f t="shared" si="4"/>
        <v>439.52824054796787</v>
      </c>
      <c r="T52" s="60">
        <v>469.47</v>
      </c>
      <c r="U52">
        <v>2.5440000000000001E-2</v>
      </c>
      <c r="V52">
        <v>2.3255813953488372E-2</v>
      </c>
      <c r="W52">
        <v>3.9210560847676823E-2</v>
      </c>
      <c r="Z52">
        <f t="shared" si="10"/>
        <v>2.0920000000000001E-2</v>
      </c>
      <c r="AA52">
        <f t="shared" si="11"/>
        <v>0.97907999999999995</v>
      </c>
      <c r="AB52" s="34">
        <f t="shared" si="15"/>
        <v>0.76696001199770147</v>
      </c>
      <c r="AC52">
        <f t="shared" ref="AC52:CN52" si="103">AB53/AB$3</f>
        <v>0.74957045648377418</v>
      </c>
      <c r="AD52">
        <f t="shared" si="103"/>
        <v>0.7312765372002592</v>
      </c>
      <c r="AE52">
        <f t="shared" si="103"/>
        <v>0.71173727323201919</v>
      </c>
      <c r="AF52">
        <f t="shared" si="103"/>
        <v>0.69090253210524177</v>
      </c>
      <c r="AG52">
        <f t="shared" si="103"/>
        <v>0.66876753177748727</v>
      </c>
      <c r="AH52">
        <f t="shared" si="103"/>
        <v>0.64530529353334631</v>
      </c>
      <c r="AI52">
        <f t="shared" si="103"/>
        <v>0.62052636628874169</v>
      </c>
      <c r="AJ52">
        <f t="shared" si="103"/>
        <v>0.59444819072209965</v>
      </c>
      <c r="AK52">
        <f t="shared" si="103"/>
        <v>0.56711313407540187</v>
      </c>
      <c r="AL52">
        <f t="shared" si="103"/>
        <v>0.53858539084567914</v>
      </c>
      <c r="AM52">
        <f t="shared" si="103"/>
        <v>0.50895016758102263</v>
      </c>
      <c r="AN52">
        <f t="shared" si="103"/>
        <v>0.47832822969443312</v>
      </c>
      <c r="AO52">
        <f t="shared" si="103"/>
        <v>0.44686292383043097</v>
      </c>
      <c r="AP52">
        <f t="shared" si="103"/>
        <v>0.41473406112287436</v>
      </c>
      <c r="AQ52">
        <f t="shared" si="103"/>
        <v>0.38215701434195737</v>
      </c>
      <c r="AR52">
        <f t="shared" si="103"/>
        <v>0.34936700127759629</v>
      </c>
      <c r="AS52">
        <f t="shared" si="103"/>
        <v>0.31664163538516948</v>
      </c>
      <c r="AT52">
        <f t="shared" si="103"/>
        <v>0.28427038211843397</v>
      </c>
      <c r="AU52">
        <f t="shared" si="103"/>
        <v>0.25256541633708834</v>
      </c>
      <c r="AV52">
        <f t="shared" si="103"/>
        <v>0.22185190185190146</v>
      </c>
      <c r="AW52">
        <f t="shared" si="103"/>
        <v>0.19245021782154975</v>
      </c>
      <c r="AX52">
        <f t="shared" si="103"/>
        <v>0.16467192767019953</v>
      </c>
      <c r="AY52">
        <f t="shared" si="103"/>
        <v>0.13879986648196721</v>
      </c>
      <c r="AZ52">
        <f t="shared" si="103"/>
        <v>0.11507926234318601</v>
      </c>
      <c r="BA52">
        <f t="shared" si="103"/>
        <v>9.3703389565952477E-2</v>
      </c>
      <c r="BB52">
        <f t="shared" si="103"/>
        <v>7.4799953757230697E-2</v>
      </c>
      <c r="BC52">
        <f t="shared" si="103"/>
        <v>5.8425984026766416E-2</v>
      </c>
      <c r="BD52">
        <f t="shared" si="103"/>
        <v>4.4561156503385241E-2</v>
      </c>
      <c r="BE52">
        <f t="shared" si="103"/>
        <v>3.3109598544924013E-2</v>
      </c>
      <c r="BF52">
        <f t="shared" si="103"/>
        <v>2.3906199468220955E-2</v>
      </c>
      <c r="BG52">
        <f t="shared" si="103"/>
        <v>1.6726980766257341E-2</v>
      </c>
      <c r="BH52">
        <f t="shared" si="103"/>
        <v>1.1307437651185012E-2</v>
      </c>
      <c r="BI52">
        <f t="shared" si="103"/>
        <v>7.3604298940877812E-3</v>
      </c>
      <c r="BJ52">
        <f t="shared" si="103"/>
        <v>4.5968384840648175E-3</v>
      </c>
      <c r="BK52">
        <f t="shared" si="103"/>
        <v>2.7433822315361426E-3</v>
      </c>
      <c r="BL52">
        <f t="shared" si="103"/>
        <v>1.5577131592367792E-3</v>
      </c>
      <c r="BM52">
        <f t="shared" si="103"/>
        <v>8.3747630279835299E-4</v>
      </c>
      <c r="BN52">
        <f t="shared" si="103"/>
        <v>4.2408781506095012E-4</v>
      </c>
      <c r="BO52">
        <f t="shared" si="103"/>
        <v>2.0110726277834177E-4</v>
      </c>
      <c r="BP52">
        <f t="shared" si="103"/>
        <v>8.8744399790507492E-5</v>
      </c>
      <c r="BQ52">
        <f t="shared" si="103"/>
        <v>3.6188286080212105E-5</v>
      </c>
      <c r="BR52">
        <f t="shared" si="103"/>
        <v>1.3533454208171587E-5</v>
      </c>
      <c r="BS52">
        <f t="shared" si="103"/>
        <v>4.6030144825682681E-6</v>
      </c>
      <c r="BT52">
        <f t="shared" si="103"/>
        <v>1.4113405196267089E-6</v>
      </c>
      <c r="BU52">
        <f t="shared" si="103"/>
        <v>3.8595660648611837E-7</v>
      </c>
      <c r="BV52">
        <f t="shared" si="103"/>
        <v>0</v>
      </c>
      <c r="BW52">
        <f t="shared" si="103"/>
        <v>0</v>
      </c>
      <c r="BX52">
        <f t="shared" si="103"/>
        <v>0</v>
      </c>
      <c r="BY52">
        <f t="shared" si="103"/>
        <v>0</v>
      </c>
      <c r="BZ52">
        <f t="shared" si="103"/>
        <v>0</v>
      </c>
      <c r="CA52">
        <f t="shared" si="103"/>
        <v>0</v>
      </c>
      <c r="CB52">
        <f t="shared" si="103"/>
        <v>0</v>
      </c>
      <c r="CC52">
        <f t="shared" si="103"/>
        <v>0</v>
      </c>
      <c r="CD52">
        <f t="shared" si="103"/>
        <v>0</v>
      </c>
      <c r="CE52">
        <f t="shared" si="103"/>
        <v>0</v>
      </c>
      <c r="CF52">
        <f t="shared" si="103"/>
        <v>0</v>
      </c>
      <c r="CG52">
        <f t="shared" si="103"/>
        <v>0</v>
      </c>
      <c r="CH52">
        <f t="shared" si="103"/>
        <v>0</v>
      </c>
      <c r="CI52">
        <f t="shared" si="103"/>
        <v>0</v>
      </c>
      <c r="CJ52">
        <f t="shared" si="103"/>
        <v>0</v>
      </c>
      <c r="CK52">
        <f t="shared" si="103"/>
        <v>0</v>
      </c>
      <c r="CL52">
        <f t="shared" si="103"/>
        <v>0</v>
      </c>
      <c r="CM52">
        <f t="shared" si="103"/>
        <v>0</v>
      </c>
      <c r="CN52">
        <f t="shared" si="103"/>
        <v>0</v>
      </c>
      <c r="CO52">
        <f t="shared" ref="CO52:DN52" si="104">CN53/CN$3</f>
        <v>0</v>
      </c>
      <c r="CP52">
        <f t="shared" si="104"/>
        <v>0</v>
      </c>
      <c r="CQ52">
        <f t="shared" si="104"/>
        <v>0</v>
      </c>
      <c r="CR52">
        <f t="shared" si="104"/>
        <v>0</v>
      </c>
      <c r="CS52">
        <f t="shared" si="104"/>
        <v>0</v>
      </c>
      <c r="CT52">
        <f t="shared" si="104"/>
        <v>0</v>
      </c>
      <c r="CU52">
        <f t="shared" si="104"/>
        <v>0</v>
      </c>
      <c r="CV52">
        <f t="shared" si="104"/>
        <v>0</v>
      </c>
      <c r="CW52">
        <f t="shared" si="104"/>
        <v>0</v>
      </c>
      <c r="CX52">
        <f t="shared" si="104"/>
        <v>0</v>
      </c>
      <c r="CY52">
        <f t="shared" si="104"/>
        <v>0</v>
      </c>
      <c r="CZ52">
        <f t="shared" si="104"/>
        <v>0</v>
      </c>
      <c r="DA52">
        <f t="shared" si="104"/>
        <v>0</v>
      </c>
      <c r="DB52">
        <f t="shared" si="104"/>
        <v>0</v>
      </c>
      <c r="DC52">
        <f t="shared" si="104"/>
        <v>0</v>
      </c>
      <c r="DD52">
        <f t="shared" si="104"/>
        <v>0</v>
      </c>
      <c r="DE52">
        <f t="shared" si="104"/>
        <v>0</v>
      </c>
      <c r="DF52">
        <f t="shared" si="104"/>
        <v>0</v>
      </c>
      <c r="DG52">
        <f t="shared" si="104"/>
        <v>0</v>
      </c>
      <c r="DH52">
        <f t="shared" si="104"/>
        <v>0</v>
      </c>
      <c r="DI52">
        <f t="shared" si="104"/>
        <v>0</v>
      </c>
      <c r="DJ52">
        <f t="shared" si="104"/>
        <v>0</v>
      </c>
      <c r="DK52">
        <f t="shared" si="104"/>
        <v>0</v>
      </c>
      <c r="DL52">
        <f t="shared" si="104"/>
        <v>0</v>
      </c>
      <c r="DM52">
        <f t="shared" si="104"/>
        <v>0</v>
      </c>
      <c r="DN52">
        <f t="shared" si="104"/>
        <v>0</v>
      </c>
    </row>
    <row r="53" spans="1:118" x14ac:dyDescent="0.2">
      <c r="A53">
        <v>49</v>
      </c>
      <c r="B53">
        <v>68</v>
      </c>
      <c r="C53">
        <f t="shared" si="2"/>
        <v>9.1563913320999515E-2</v>
      </c>
      <c r="D53">
        <f t="shared" si="3"/>
        <v>8.3839502226555132E-3</v>
      </c>
      <c r="E53">
        <v>2.7789999999999999E-2</v>
      </c>
      <c r="F53">
        <f t="shared" si="0"/>
        <v>0.97221000000000002</v>
      </c>
      <c r="G53" s="34">
        <f t="shared" si="5"/>
        <v>0.70946924383437293</v>
      </c>
      <c r="H53" s="34"/>
      <c r="I53">
        <v>538.51242544063143</v>
      </c>
      <c r="J53">
        <v>68</v>
      </c>
      <c r="K53" s="38">
        <f t="shared" si="6"/>
        <v>538.51242544063211</v>
      </c>
      <c r="L53" s="22">
        <f t="shared" si="72"/>
        <v>414.83827565045766</v>
      </c>
      <c r="M53" s="23">
        <f t="shared" si="4"/>
        <v>439.52824054796787</v>
      </c>
      <c r="T53" s="60">
        <v>484.53</v>
      </c>
      <c r="U53">
        <v>2.7789999999999999E-2</v>
      </c>
      <c r="V53">
        <v>2.3809523809523808E-2</v>
      </c>
      <c r="W53">
        <v>3.9210560847676823E-2</v>
      </c>
      <c r="Z53">
        <f t="shared" si="10"/>
        <v>2.368E-2</v>
      </c>
      <c r="AA53">
        <f t="shared" si="11"/>
        <v>0.97631999999999997</v>
      </c>
      <c r="AB53" s="34">
        <f t="shared" si="15"/>
        <v>0.7487983989135959</v>
      </c>
      <c r="AC53">
        <f t="shared" ref="AC53:CN53" si="105">AB54/AB$3</f>
        <v>0.73050138407082699</v>
      </c>
      <c r="AD53">
        <f t="shared" si="105"/>
        <v>0.71095436223146402</v>
      </c>
      <c r="AE53">
        <f t="shared" si="105"/>
        <v>0.69012181224396285</v>
      </c>
      <c r="AF53">
        <f t="shared" si="105"/>
        <v>0.66797838608998983</v>
      </c>
      <c r="AG53">
        <f t="shared" si="105"/>
        <v>0.64451802107523559</v>
      </c>
      <c r="AH53">
        <f t="shared" si="105"/>
        <v>0.61973829780355505</v>
      </c>
      <c r="AI53">
        <f t="shared" si="105"/>
        <v>0.59365757462843927</v>
      </c>
      <c r="AJ53">
        <f t="shared" si="105"/>
        <v>0.56632484681903705</v>
      </c>
      <c r="AK53">
        <f t="shared" si="105"/>
        <v>0.53779905617504442</v>
      </c>
      <c r="AL53">
        <f t="shared" si="105"/>
        <v>0.50817147382462369</v>
      </c>
      <c r="AM53">
        <f t="shared" si="105"/>
        <v>0.4775581212446251</v>
      </c>
      <c r="AN53">
        <f t="shared" si="105"/>
        <v>0.44610325685991919</v>
      </c>
      <c r="AO53">
        <f t="shared" si="105"/>
        <v>0.41399168715346446</v>
      </c>
      <c r="AP53">
        <f t="shared" si="105"/>
        <v>0.38143091601470763</v>
      </c>
      <c r="AQ53">
        <f t="shared" si="105"/>
        <v>0.34866477360502834</v>
      </c>
      <c r="AR53">
        <f t="shared" si="105"/>
        <v>0.31596402228544523</v>
      </c>
      <c r="AS53">
        <f t="shared" si="105"/>
        <v>0.28362224564720395</v>
      </c>
      <c r="AT53">
        <f t="shared" si="105"/>
        <v>0.25195168237538923</v>
      </c>
      <c r="AU53">
        <f t="shared" si="105"/>
        <v>0.2212750869070865</v>
      </c>
      <c r="AV53">
        <f t="shared" si="105"/>
        <v>0.19191520621600583</v>
      </c>
      <c r="AW53">
        <f t="shared" si="105"/>
        <v>0.16418120532574235</v>
      </c>
      <c r="AX53">
        <f t="shared" si="105"/>
        <v>0.13835570690922491</v>
      </c>
      <c r="AY53">
        <f t="shared" si="105"/>
        <v>0.11468338968072544</v>
      </c>
      <c r="AZ53">
        <f t="shared" si="105"/>
        <v>9.335574999066279E-2</v>
      </c>
      <c r="BA53">
        <f t="shared" si="105"/>
        <v>7.4500753942201778E-2</v>
      </c>
      <c r="BB53">
        <f t="shared" si="105"/>
        <v>5.8174168035611047E-2</v>
      </c>
      <c r="BC53">
        <f t="shared" si="105"/>
        <v>4.4353501514079463E-2</v>
      </c>
      <c r="BD53">
        <f t="shared" si="105"/>
        <v>3.2942726168257594E-2</v>
      </c>
      <c r="BE53">
        <f t="shared" si="105"/>
        <v>2.3775671619124469E-2</v>
      </c>
      <c r="BF53">
        <f t="shared" si="105"/>
        <v>1.6627957040121096E-2</v>
      </c>
      <c r="BG53">
        <f t="shared" si="105"/>
        <v>1.1234843901464404E-2</v>
      </c>
      <c r="BH53">
        <f t="shared" si="105"/>
        <v>7.3091276977259893E-3</v>
      </c>
      <c r="BI53">
        <f t="shared" si="105"/>
        <v>4.5619944483556059E-3</v>
      </c>
      <c r="BJ53">
        <f t="shared" si="105"/>
        <v>2.7207767619482847E-3</v>
      </c>
      <c r="BK53">
        <f t="shared" si="105"/>
        <v>1.5437560493300178E-3</v>
      </c>
      <c r="BL53">
        <f t="shared" si="105"/>
        <v>8.2931090884606903E-4</v>
      </c>
      <c r="BM53">
        <f t="shared" si="105"/>
        <v>4.1958400246500284E-4</v>
      </c>
      <c r="BN53">
        <f t="shared" si="105"/>
        <v>1.9877844067536855E-4</v>
      </c>
      <c r="BO53">
        <f t="shared" si="105"/>
        <v>8.7624445465151284E-5</v>
      </c>
      <c r="BP53">
        <f t="shared" si="105"/>
        <v>3.5690335263748389E-5</v>
      </c>
      <c r="BQ53">
        <f t="shared" si="105"/>
        <v>1.3330317060506931E-5</v>
      </c>
      <c r="BR53">
        <f t="shared" si="105"/>
        <v>4.5276171053437998E-6</v>
      </c>
      <c r="BS53">
        <f t="shared" si="105"/>
        <v>1.3861057511357834E-6</v>
      </c>
      <c r="BT53">
        <f t="shared" si="105"/>
        <v>3.7842273352750934E-7</v>
      </c>
      <c r="BU53">
        <f t="shared" si="105"/>
        <v>0</v>
      </c>
      <c r="BV53">
        <f t="shared" si="105"/>
        <v>0</v>
      </c>
      <c r="BW53">
        <f t="shared" si="105"/>
        <v>0</v>
      </c>
      <c r="BX53">
        <f t="shared" si="105"/>
        <v>0</v>
      </c>
      <c r="BY53">
        <f t="shared" si="105"/>
        <v>0</v>
      </c>
      <c r="BZ53">
        <f t="shared" si="105"/>
        <v>0</v>
      </c>
      <c r="CA53">
        <f t="shared" si="105"/>
        <v>0</v>
      </c>
      <c r="CB53">
        <f t="shared" si="105"/>
        <v>0</v>
      </c>
      <c r="CC53">
        <f t="shared" si="105"/>
        <v>0</v>
      </c>
      <c r="CD53">
        <f t="shared" si="105"/>
        <v>0</v>
      </c>
      <c r="CE53">
        <f t="shared" si="105"/>
        <v>0</v>
      </c>
      <c r="CF53">
        <f t="shared" si="105"/>
        <v>0</v>
      </c>
      <c r="CG53">
        <f t="shared" si="105"/>
        <v>0</v>
      </c>
      <c r="CH53">
        <f t="shared" si="105"/>
        <v>0</v>
      </c>
      <c r="CI53">
        <f t="shared" si="105"/>
        <v>0</v>
      </c>
      <c r="CJ53">
        <f t="shared" si="105"/>
        <v>0</v>
      </c>
      <c r="CK53">
        <f t="shared" si="105"/>
        <v>0</v>
      </c>
      <c r="CL53">
        <f t="shared" si="105"/>
        <v>0</v>
      </c>
      <c r="CM53">
        <f t="shared" si="105"/>
        <v>0</v>
      </c>
      <c r="CN53">
        <f t="shared" si="105"/>
        <v>0</v>
      </c>
      <c r="CO53">
        <f t="shared" ref="CO53:DN53" si="106">CN54/CN$3</f>
        <v>0</v>
      </c>
      <c r="CP53">
        <f t="shared" si="106"/>
        <v>0</v>
      </c>
      <c r="CQ53">
        <f t="shared" si="106"/>
        <v>0</v>
      </c>
      <c r="CR53">
        <f t="shared" si="106"/>
        <v>0</v>
      </c>
      <c r="CS53">
        <f t="shared" si="106"/>
        <v>0</v>
      </c>
      <c r="CT53">
        <f t="shared" si="106"/>
        <v>0</v>
      </c>
      <c r="CU53">
        <f t="shared" si="106"/>
        <v>0</v>
      </c>
      <c r="CV53">
        <f t="shared" si="106"/>
        <v>0</v>
      </c>
      <c r="CW53">
        <f t="shared" si="106"/>
        <v>0</v>
      </c>
      <c r="CX53">
        <f t="shared" si="106"/>
        <v>0</v>
      </c>
      <c r="CY53">
        <f t="shared" si="106"/>
        <v>0</v>
      </c>
      <c r="CZ53">
        <f t="shared" si="106"/>
        <v>0</v>
      </c>
      <c r="DA53">
        <f t="shared" si="106"/>
        <v>0</v>
      </c>
      <c r="DB53">
        <f t="shared" si="106"/>
        <v>0</v>
      </c>
      <c r="DC53">
        <f t="shared" si="106"/>
        <v>0</v>
      </c>
      <c r="DD53">
        <f t="shared" si="106"/>
        <v>0</v>
      </c>
      <c r="DE53">
        <f t="shared" si="106"/>
        <v>0</v>
      </c>
      <c r="DF53">
        <f t="shared" si="106"/>
        <v>0</v>
      </c>
      <c r="DG53">
        <f t="shared" si="106"/>
        <v>0</v>
      </c>
      <c r="DH53">
        <f t="shared" si="106"/>
        <v>0</v>
      </c>
      <c r="DI53">
        <f t="shared" si="106"/>
        <v>0</v>
      </c>
      <c r="DJ53">
        <f t="shared" si="106"/>
        <v>0</v>
      </c>
      <c r="DK53">
        <f t="shared" si="106"/>
        <v>0</v>
      </c>
      <c r="DL53">
        <f t="shared" si="106"/>
        <v>0</v>
      </c>
      <c r="DM53">
        <f t="shared" si="106"/>
        <v>0</v>
      </c>
      <c r="DN53">
        <f t="shared" si="106"/>
        <v>0</v>
      </c>
    </row>
    <row r="54" spans="1:118" x14ac:dyDescent="0.2">
      <c r="A54">
        <v>50</v>
      </c>
      <c r="B54">
        <v>69</v>
      </c>
      <c r="C54">
        <f t="shared" si="2"/>
        <v>8.7203726972380491E-2</v>
      </c>
      <c r="D54">
        <f t="shared" si="3"/>
        <v>7.6044899978734808E-3</v>
      </c>
      <c r="E54">
        <v>3.0370000000000001E-2</v>
      </c>
      <c r="F54">
        <f t="shared" si="0"/>
        <v>0.96962999999999999</v>
      </c>
      <c r="G54" s="34">
        <f t="shared" si="5"/>
        <v>0.68792266289912307</v>
      </c>
      <c r="H54" s="34"/>
      <c r="I54">
        <v>553.01637168169736</v>
      </c>
      <c r="J54">
        <v>69</v>
      </c>
      <c r="K54" s="38">
        <f t="shared" si="6"/>
        <v>553.01637168169816</v>
      </c>
      <c r="L54" s="22">
        <f t="shared" si="72"/>
        <v>421.81385258988252</v>
      </c>
      <c r="M54" s="23">
        <f t="shared" si="4"/>
        <v>439.52824054796787</v>
      </c>
      <c r="T54" s="60">
        <v>499.7</v>
      </c>
      <c r="U54">
        <v>3.0370000000000001E-2</v>
      </c>
      <c r="V54">
        <v>2.4390243902439025E-2</v>
      </c>
      <c r="W54">
        <v>3.9210560847676823E-2</v>
      </c>
      <c r="Z54">
        <f t="shared" si="10"/>
        <v>2.5440000000000001E-2</v>
      </c>
      <c r="AA54">
        <f t="shared" si="11"/>
        <v>0.97455999999999998</v>
      </c>
      <c r="AB54" s="34">
        <f t="shared" si="15"/>
        <v>0.729748967645234</v>
      </c>
      <c r="AC54">
        <f t="shared" ref="AC54:CN54" si="107">AB55/AB$3</f>
        <v>0.71020075060749865</v>
      </c>
      <c r="AD54">
        <f t="shared" si="107"/>
        <v>0.68936267825049447</v>
      </c>
      <c r="AE54">
        <f t="shared" si="107"/>
        <v>0.66722357051370818</v>
      </c>
      <c r="AF54">
        <f t="shared" si="107"/>
        <v>0.64375748981036685</v>
      </c>
      <c r="AG54">
        <f t="shared" si="107"/>
        <v>0.61898221708023471</v>
      </c>
      <c r="AH54">
        <f t="shared" si="107"/>
        <v>0.59290362950866116</v>
      </c>
      <c r="AI54">
        <f t="shared" si="107"/>
        <v>0.56557163477276773</v>
      </c>
      <c r="AJ54">
        <f t="shared" si="107"/>
        <v>0.53705151548696106</v>
      </c>
      <c r="AK54">
        <f t="shared" si="107"/>
        <v>0.50742954347283975</v>
      </c>
      <c r="AL54">
        <f t="shared" si="107"/>
        <v>0.4768274573191208</v>
      </c>
      <c r="AM54">
        <f t="shared" si="107"/>
        <v>0.44538503061637474</v>
      </c>
      <c r="AN54">
        <f t="shared" si="107"/>
        <v>0.41328790128530357</v>
      </c>
      <c r="AO54">
        <f t="shared" si="107"/>
        <v>0.38074815467504131</v>
      </c>
      <c r="AP54">
        <f t="shared" si="107"/>
        <v>0.34800231053517877</v>
      </c>
      <c r="AQ54">
        <f t="shared" si="107"/>
        <v>0.31532893460065148</v>
      </c>
      <c r="AR54">
        <f t="shared" si="107"/>
        <v>0.28301529404151893</v>
      </c>
      <c r="AS54">
        <f t="shared" si="107"/>
        <v>0.25137723253957334</v>
      </c>
      <c r="AT54">
        <f t="shared" si="107"/>
        <v>0.22073738844590227</v>
      </c>
      <c r="AU54">
        <f t="shared" si="107"/>
        <v>0.1914162266798442</v>
      </c>
      <c r="AV54">
        <f t="shared" si="107"/>
        <v>0.16372478157493678</v>
      </c>
      <c r="AW54">
        <f t="shared" si="107"/>
        <v>0.13794340690263543</v>
      </c>
      <c r="AX54">
        <f t="shared" si="107"/>
        <v>0.11431640283374712</v>
      </c>
      <c r="AY54">
        <f t="shared" si="107"/>
        <v>9.3034606210694912E-2</v>
      </c>
      <c r="AZ54">
        <f t="shared" si="107"/>
        <v>7.4224356145076206E-2</v>
      </c>
      <c r="BA54">
        <f t="shared" si="107"/>
        <v>5.7941471363468604E-2</v>
      </c>
      <c r="BB54">
        <f t="shared" si="107"/>
        <v>4.4162337922553779E-2</v>
      </c>
      <c r="BC54">
        <f t="shared" si="107"/>
        <v>3.278921306431351E-2</v>
      </c>
      <c r="BD54">
        <f t="shared" si="107"/>
        <v>2.365584223416408E-2</v>
      </c>
      <c r="BE54">
        <f t="shared" si="107"/>
        <v>1.6537168394682035E-2</v>
      </c>
      <c r="BF54">
        <f t="shared" si="107"/>
        <v>1.1168333625567736E-2</v>
      </c>
      <c r="BG54">
        <f t="shared" si="107"/>
        <v>7.2622030979065883E-3</v>
      </c>
      <c r="BH54">
        <f t="shared" si="107"/>
        <v>4.5301973470505668E-3</v>
      </c>
      <c r="BI54">
        <f t="shared" si="107"/>
        <v>2.7001532740927167E-3</v>
      </c>
      <c r="BJ54">
        <f t="shared" si="107"/>
        <v>1.5310354994835383E-3</v>
      </c>
      <c r="BK54">
        <f t="shared" si="107"/>
        <v>8.2188028310280832E-4</v>
      </c>
      <c r="BL54">
        <f t="shared" si="107"/>
        <v>4.1549305844096904E-4</v>
      </c>
      <c r="BM54">
        <f t="shared" si="107"/>
        <v>1.9666741363539615E-4</v>
      </c>
      <c r="BN54">
        <f t="shared" si="107"/>
        <v>8.6609754386664828E-5</v>
      </c>
      <c r="BO54">
        <f t="shared" si="107"/>
        <v>3.5239923232719887E-5</v>
      </c>
      <c r="BP54">
        <f t="shared" si="107"/>
        <v>1.3146891897754356E-5</v>
      </c>
      <c r="BQ54">
        <f t="shared" si="107"/>
        <v>4.4596575725925898E-6</v>
      </c>
      <c r="BR54">
        <f t="shared" si="107"/>
        <v>1.3634013389321794E-6</v>
      </c>
      <c r="BS54">
        <f t="shared" si="107"/>
        <v>3.7165653505203748E-7</v>
      </c>
      <c r="BT54">
        <f t="shared" si="107"/>
        <v>0</v>
      </c>
      <c r="BU54">
        <f t="shared" si="107"/>
        <v>0</v>
      </c>
      <c r="BV54">
        <f t="shared" si="107"/>
        <v>0</v>
      </c>
      <c r="BW54">
        <f t="shared" si="107"/>
        <v>0</v>
      </c>
      <c r="BX54">
        <f t="shared" si="107"/>
        <v>0</v>
      </c>
      <c r="BY54">
        <f t="shared" si="107"/>
        <v>0</v>
      </c>
      <c r="BZ54">
        <f t="shared" si="107"/>
        <v>0</v>
      </c>
      <c r="CA54">
        <f t="shared" si="107"/>
        <v>0</v>
      </c>
      <c r="CB54">
        <f t="shared" si="107"/>
        <v>0</v>
      </c>
      <c r="CC54">
        <f t="shared" si="107"/>
        <v>0</v>
      </c>
      <c r="CD54">
        <f t="shared" si="107"/>
        <v>0</v>
      </c>
      <c r="CE54">
        <f t="shared" si="107"/>
        <v>0</v>
      </c>
      <c r="CF54">
        <f t="shared" si="107"/>
        <v>0</v>
      </c>
      <c r="CG54">
        <f t="shared" si="107"/>
        <v>0</v>
      </c>
      <c r="CH54">
        <f t="shared" si="107"/>
        <v>0</v>
      </c>
      <c r="CI54">
        <f t="shared" si="107"/>
        <v>0</v>
      </c>
      <c r="CJ54">
        <f t="shared" si="107"/>
        <v>0</v>
      </c>
      <c r="CK54">
        <f t="shared" si="107"/>
        <v>0</v>
      </c>
      <c r="CL54">
        <f t="shared" si="107"/>
        <v>0</v>
      </c>
      <c r="CM54">
        <f t="shared" si="107"/>
        <v>0</v>
      </c>
      <c r="CN54">
        <f t="shared" si="107"/>
        <v>0</v>
      </c>
      <c r="CO54">
        <f t="shared" ref="CO54:DN54" si="108">CN55/CN$3</f>
        <v>0</v>
      </c>
      <c r="CP54">
        <f t="shared" si="108"/>
        <v>0</v>
      </c>
      <c r="CQ54">
        <f t="shared" si="108"/>
        <v>0</v>
      </c>
      <c r="CR54">
        <f t="shared" si="108"/>
        <v>0</v>
      </c>
      <c r="CS54">
        <f t="shared" si="108"/>
        <v>0</v>
      </c>
      <c r="CT54">
        <f t="shared" si="108"/>
        <v>0</v>
      </c>
      <c r="CU54">
        <f t="shared" si="108"/>
        <v>0</v>
      </c>
      <c r="CV54">
        <f t="shared" si="108"/>
        <v>0</v>
      </c>
      <c r="CW54">
        <f t="shared" si="108"/>
        <v>0</v>
      </c>
      <c r="CX54">
        <f t="shared" si="108"/>
        <v>0</v>
      </c>
      <c r="CY54">
        <f t="shared" si="108"/>
        <v>0</v>
      </c>
      <c r="CZ54">
        <f t="shared" si="108"/>
        <v>0</v>
      </c>
      <c r="DA54">
        <f t="shared" si="108"/>
        <v>0</v>
      </c>
      <c r="DB54">
        <f t="shared" si="108"/>
        <v>0</v>
      </c>
      <c r="DC54">
        <f t="shared" si="108"/>
        <v>0</v>
      </c>
      <c r="DD54">
        <f t="shared" si="108"/>
        <v>0</v>
      </c>
      <c r="DE54">
        <f t="shared" si="108"/>
        <v>0</v>
      </c>
      <c r="DF54">
        <f t="shared" si="108"/>
        <v>0</v>
      </c>
      <c r="DG54">
        <f t="shared" si="108"/>
        <v>0</v>
      </c>
      <c r="DH54">
        <f t="shared" si="108"/>
        <v>0</v>
      </c>
      <c r="DI54">
        <f t="shared" si="108"/>
        <v>0</v>
      </c>
      <c r="DJ54">
        <f t="shared" si="108"/>
        <v>0</v>
      </c>
      <c r="DK54">
        <f t="shared" si="108"/>
        <v>0</v>
      </c>
      <c r="DL54">
        <f t="shared" si="108"/>
        <v>0</v>
      </c>
      <c r="DM54">
        <f t="shared" si="108"/>
        <v>0</v>
      </c>
      <c r="DN54">
        <f t="shared" si="108"/>
        <v>0</v>
      </c>
    </row>
    <row r="55" spans="1:118" x14ac:dyDescent="0.2">
      <c r="A55">
        <v>51</v>
      </c>
      <c r="B55">
        <v>70</v>
      </c>
      <c r="C55">
        <f t="shared" si="2"/>
        <v>8.3051168545124274E-2</v>
      </c>
      <c r="D55">
        <f t="shared" si="3"/>
        <v>6.8974965967106396E-3</v>
      </c>
      <c r="E55">
        <v>3.3180000000000001E-2</v>
      </c>
      <c r="F55">
        <f t="shared" si="0"/>
        <v>0.96682000000000001</v>
      </c>
      <c r="G55" s="34">
        <f t="shared" si="5"/>
        <v>0.66509738894413017</v>
      </c>
      <c r="H55" s="34"/>
      <c r="I55">
        <v>567.5331727213287</v>
      </c>
      <c r="J55">
        <v>70</v>
      </c>
      <c r="K55" s="38">
        <f t="shared" si="6"/>
        <v>567.53317272132983</v>
      </c>
      <c r="L55" s="22">
        <f t="shared" si="72"/>
        <v>428.9771588498611</v>
      </c>
      <c r="M55" s="23">
        <f t="shared" si="4"/>
        <v>439.52824054796787</v>
      </c>
      <c r="T55" s="58">
        <v>514.95000000000005</v>
      </c>
      <c r="U55">
        <v>3.3180000000000001E-2</v>
      </c>
      <c r="V55">
        <v>2.5000000000000001E-2</v>
      </c>
      <c r="W55">
        <v>3.9210560847676823E-2</v>
      </c>
      <c r="Z55">
        <f t="shared" si="10"/>
        <v>2.7789999999999999E-2</v>
      </c>
      <c r="AA55">
        <f t="shared" si="11"/>
        <v>0.97221000000000002</v>
      </c>
      <c r="AB55" s="34">
        <f t="shared" si="15"/>
        <v>0.70946924383437293</v>
      </c>
      <c r="AC55">
        <f t="shared" ref="AC55:CN55" si="109">AB56/AB$3</f>
        <v>0.68863195381154896</v>
      </c>
      <c r="AD55">
        <f t="shared" si="109"/>
        <v>0.66648962458614314</v>
      </c>
      <c r="AE55">
        <f t="shared" si="109"/>
        <v>0.64303004384688112</v>
      </c>
      <c r="AF55">
        <f t="shared" si="109"/>
        <v>0.61825181806408003</v>
      </c>
      <c r="AG55">
        <f t="shared" si="109"/>
        <v>0.59218028708066062</v>
      </c>
      <c r="AH55">
        <f t="shared" si="109"/>
        <v>0.56485335879660636</v>
      </c>
      <c r="AI55">
        <f t="shared" si="109"/>
        <v>0.53633723697136337</v>
      </c>
      <c r="AJ55">
        <f t="shared" si="109"/>
        <v>0.5067242164074125</v>
      </c>
      <c r="AK55">
        <f t="shared" si="109"/>
        <v>0.47613128923143488</v>
      </c>
      <c r="AL55">
        <f t="shared" si="109"/>
        <v>0.44470359151953165</v>
      </c>
      <c r="AM55">
        <f t="shared" si="109"/>
        <v>0.41262250776423426</v>
      </c>
      <c r="AN55">
        <f t="shared" si="109"/>
        <v>0.3801008828120937</v>
      </c>
      <c r="AO55">
        <f t="shared" si="109"/>
        <v>0.34737938639932081</v>
      </c>
      <c r="AP55">
        <f t="shared" si="109"/>
        <v>0.31472980962491026</v>
      </c>
      <c r="AQ55">
        <f t="shared" si="109"/>
        <v>0.28244643330049551</v>
      </c>
      <c r="AR55">
        <f t="shared" si="109"/>
        <v>0.25083928526193866</v>
      </c>
      <c r="AS55">
        <f t="shared" si="109"/>
        <v>0.22023410720024561</v>
      </c>
      <c r="AT55">
        <f t="shared" si="109"/>
        <v>0.19095108524901216</v>
      </c>
      <c r="AU55">
        <f t="shared" si="109"/>
        <v>0.16329909714284194</v>
      </c>
      <c r="AV55">
        <f t="shared" si="109"/>
        <v>0.13755992423144611</v>
      </c>
      <c r="AW55">
        <f t="shared" si="109"/>
        <v>0.11397573995330255</v>
      </c>
      <c r="AX55">
        <f t="shared" si="109"/>
        <v>9.2736895470820688E-2</v>
      </c>
      <c r="AY55">
        <f t="shared" si="109"/>
        <v>7.3969024359937144E-2</v>
      </c>
      <c r="AZ55">
        <f t="shared" si="109"/>
        <v>5.7726508504710138E-2</v>
      </c>
      <c r="BA55">
        <f t="shared" si="109"/>
        <v>4.3985688570863567E-2</v>
      </c>
      <c r="BB55">
        <f t="shared" si="109"/>
        <v>3.2647891556006316E-2</v>
      </c>
      <c r="BC55">
        <f t="shared" si="109"/>
        <v>2.3545606009352876E-2</v>
      </c>
      <c r="BD55">
        <f t="shared" si="109"/>
        <v>1.6453821065972835E-2</v>
      </c>
      <c r="BE55">
        <f t="shared" si="109"/>
        <v>1.1107354523972135E-2</v>
      </c>
      <c r="BF55">
        <f t="shared" si="109"/>
        <v>7.2192108555669812E-3</v>
      </c>
      <c r="BG55">
        <f t="shared" si="109"/>
        <v>4.5011134800825026E-3</v>
      </c>
      <c r="BH55">
        <f t="shared" si="109"/>
        <v>2.6813332057722904E-3</v>
      </c>
      <c r="BI55">
        <f t="shared" si="109"/>
        <v>1.519430250397453E-3</v>
      </c>
      <c r="BJ55">
        <f t="shared" si="109"/>
        <v>8.1510798957004117E-4</v>
      </c>
      <c r="BK55">
        <f t="shared" si="109"/>
        <v>4.1177024063733796E-4</v>
      </c>
      <c r="BL55">
        <f t="shared" si="109"/>
        <v>1.9474990635245102E-4</v>
      </c>
      <c r="BM55">
        <f t="shared" si="109"/>
        <v>8.5689958795078446E-5</v>
      </c>
      <c r="BN55">
        <f t="shared" si="109"/>
        <v>3.4831844921684991E-5</v>
      </c>
      <c r="BO55">
        <f t="shared" si="109"/>
        <v>1.2980978122004696E-5</v>
      </c>
      <c r="BP55">
        <f t="shared" si="109"/>
        <v>4.3982926843937162E-6</v>
      </c>
      <c r="BQ55">
        <f t="shared" si="109"/>
        <v>1.3429366848348075E-6</v>
      </c>
      <c r="BR55">
        <f t="shared" si="109"/>
        <v>3.6556880100788514E-7</v>
      </c>
      <c r="BS55">
        <f t="shared" si="109"/>
        <v>0</v>
      </c>
      <c r="BT55">
        <f t="shared" si="109"/>
        <v>0</v>
      </c>
      <c r="BU55">
        <f t="shared" si="109"/>
        <v>0</v>
      </c>
      <c r="BV55">
        <f t="shared" si="109"/>
        <v>0</v>
      </c>
      <c r="BW55">
        <f t="shared" si="109"/>
        <v>0</v>
      </c>
      <c r="BX55">
        <f t="shared" si="109"/>
        <v>0</v>
      </c>
      <c r="BY55">
        <f t="shared" si="109"/>
        <v>0</v>
      </c>
      <c r="BZ55">
        <f t="shared" si="109"/>
        <v>0</v>
      </c>
      <c r="CA55">
        <f t="shared" si="109"/>
        <v>0</v>
      </c>
      <c r="CB55">
        <f t="shared" si="109"/>
        <v>0</v>
      </c>
      <c r="CC55">
        <f t="shared" si="109"/>
        <v>0</v>
      </c>
      <c r="CD55">
        <f t="shared" si="109"/>
        <v>0</v>
      </c>
      <c r="CE55">
        <f t="shared" si="109"/>
        <v>0</v>
      </c>
      <c r="CF55">
        <f t="shared" si="109"/>
        <v>0</v>
      </c>
      <c r="CG55">
        <f t="shared" si="109"/>
        <v>0</v>
      </c>
      <c r="CH55">
        <f t="shared" si="109"/>
        <v>0</v>
      </c>
      <c r="CI55">
        <f t="shared" si="109"/>
        <v>0</v>
      </c>
      <c r="CJ55">
        <f t="shared" si="109"/>
        <v>0</v>
      </c>
      <c r="CK55">
        <f t="shared" si="109"/>
        <v>0</v>
      </c>
      <c r="CL55">
        <f t="shared" si="109"/>
        <v>0</v>
      </c>
      <c r="CM55">
        <f t="shared" si="109"/>
        <v>0</v>
      </c>
      <c r="CN55">
        <f t="shared" si="109"/>
        <v>0</v>
      </c>
      <c r="CO55">
        <f t="shared" ref="CO55:DN55" si="110">CN56/CN$3</f>
        <v>0</v>
      </c>
      <c r="CP55">
        <f t="shared" si="110"/>
        <v>0</v>
      </c>
      <c r="CQ55">
        <f t="shared" si="110"/>
        <v>0</v>
      </c>
      <c r="CR55">
        <f t="shared" si="110"/>
        <v>0</v>
      </c>
      <c r="CS55">
        <f t="shared" si="110"/>
        <v>0</v>
      </c>
      <c r="CT55">
        <f t="shared" si="110"/>
        <v>0</v>
      </c>
      <c r="CU55">
        <f t="shared" si="110"/>
        <v>0</v>
      </c>
      <c r="CV55">
        <f t="shared" si="110"/>
        <v>0</v>
      </c>
      <c r="CW55">
        <f t="shared" si="110"/>
        <v>0</v>
      </c>
      <c r="CX55">
        <f t="shared" si="110"/>
        <v>0</v>
      </c>
      <c r="CY55">
        <f t="shared" si="110"/>
        <v>0</v>
      </c>
      <c r="CZ55">
        <f t="shared" si="110"/>
        <v>0</v>
      </c>
      <c r="DA55">
        <f t="shared" si="110"/>
        <v>0</v>
      </c>
      <c r="DB55">
        <f t="shared" si="110"/>
        <v>0</v>
      </c>
      <c r="DC55">
        <f t="shared" si="110"/>
        <v>0</v>
      </c>
      <c r="DD55">
        <f t="shared" si="110"/>
        <v>0</v>
      </c>
      <c r="DE55">
        <f t="shared" si="110"/>
        <v>0</v>
      </c>
      <c r="DF55">
        <f t="shared" si="110"/>
        <v>0</v>
      </c>
      <c r="DG55">
        <f t="shared" si="110"/>
        <v>0</v>
      </c>
      <c r="DH55">
        <f t="shared" si="110"/>
        <v>0</v>
      </c>
      <c r="DI55">
        <f t="shared" si="110"/>
        <v>0</v>
      </c>
      <c r="DJ55">
        <f t="shared" si="110"/>
        <v>0</v>
      </c>
      <c r="DK55">
        <f t="shared" si="110"/>
        <v>0</v>
      </c>
      <c r="DL55">
        <f t="shared" si="110"/>
        <v>0</v>
      </c>
      <c r="DM55">
        <f t="shared" si="110"/>
        <v>0</v>
      </c>
      <c r="DN55">
        <f t="shared" si="110"/>
        <v>0</v>
      </c>
    </row>
    <row r="56" spans="1:118" x14ac:dyDescent="0.2">
      <c r="A56">
        <v>52</v>
      </c>
      <c r="B56">
        <v>71</v>
      </c>
      <c r="C56">
        <f t="shared" si="2"/>
        <v>7.909635099535646E-2</v>
      </c>
      <c r="D56">
        <f t="shared" si="3"/>
        <v>6.2562327407806265E-3</v>
      </c>
      <c r="E56">
        <v>3.6260000000000001E-2</v>
      </c>
      <c r="F56">
        <f t="shared" si="0"/>
        <v>0.96374000000000004</v>
      </c>
      <c r="G56" s="34">
        <f t="shared" si="5"/>
        <v>0.64098095762101603</v>
      </c>
      <c r="H56" s="34"/>
      <c r="I56">
        <v>582.0419843997804</v>
      </c>
      <c r="J56">
        <v>71</v>
      </c>
      <c r="K56" s="38">
        <f t="shared" si="6"/>
        <v>582.0419843997812</v>
      </c>
      <c r="L56" s="22">
        <f t="shared" si="72"/>
        <v>436.33437619728625</v>
      </c>
      <c r="M56" s="23">
        <f t="shared" si="4"/>
        <v>439.52824054796787</v>
      </c>
      <c r="T56" s="59">
        <v>530.26</v>
      </c>
      <c r="U56">
        <v>3.6260000000000001E-2</v>
      </c>
      <c r="V56">
        <v>2.564102564102564E-2</v>
      </c>
      <c r="W56">
        <v>3.9210560847676823E-2</v>
      </c>
      <c r="Z56">
        <f t="shared" si="10"/>
        <v>3.0370000000000001E-2</v>
      </c>
      <c r="AA56">
        <f t="shared" si="11"/>
        <v>0.96962999999999999</v>
      </c>
      <c r="AB56" s="34">
        <f t="shared" si="15"/>
        <v>0.68792266289912307</v>
      </c>
      <c r="AC56">
        <f t="shared" ref="AC56:CN56" si="111">AB57/AB$3</f>
        <v>0.6657831455840818</v>
      </c>
      <c r="AD56">
        <f t="shared" si="111"/>
        <v>0.64232271079864955</v>
      </c>
      <c r="AE56">
        <f t="shared" si="111"/>
        <v>0.61755319350966764</v>
      </c>
      <c r="AF56">
        <f t="shared" si="111"/>
        <v>0.59148151434190543</v>
      </c>
      <c r="AG56">
        <f t="shared" si="111"/>
        <v>0.56416423769887447</v>
      </c>
      <c r="AH56">
        <f t="shared" si="111"/>
        <v>0.5356560886804097</v>
      </c>
      <c r="AI56">
        <f t="shared" si="111"/>
        <v>0.50605027319959062</v>
      </c>
      <c r="AJ56">
        <f t="shared" si="111"/>
        <v>0.47546946673940321</v>
      </c>
      <c r="AK56">
        <f t="shared" si="111"/>
        <v>0.44405432427591313</v>
      </c>
      <c r="AL56">
        <f t="shared" si="111"/>
        <v>0.41199119532735495</v>
      </c>
      <c r="AM56">
        <f t="shared" si="111"/>
        <v>0.3794889203907662</v>
      </c>
      <c r="AN56">
        <f t="shared" si="111"/>
        <v>0.34678884144244193</v>
      </c>
      <c r="AO56">
        <f t="shared" si="111"/>
        <v>0.31416644326568166</v>
      </c>
      <c r="AP56">
        <f t="shared" si="111"/>
        <v>0.28190978507722458</v>
      </c>
      <c r="AQ56">
        <f t="shared" si="111"/>
        <v>0.25033509829856215</v>
      </c>
      <c r="AR56">
        <f t="shared" si="111"/>
        <v>0.21976280621083708</v>
      </c>
      <c r="AS56">
        <f t="shared" si="111"/>
        <v>0.19051571677464443</v>
      </c>
      <c r="AT56">
        <f t="shared" si="111"/>
        <v>0.16290228033678483</v>
      </c>
      <c r="AU56">
        <f t="shared" si="111"/>
        <v>0.13720226842844435</v>
      </c>
      <c r="AV56">
        <f t="shared" si="111"/>
        <v>0.11365888739623237</v>
      </c>
      <c r="AW56">
        <f t="shared" si="111"/>
        <v>9.2460539522317642E-2</v>
      </c>
      <c r="AX56">
        <f t="shared" si="111"/>
        <v>7.3732323481985343E-2</v>
      </c>
      <c r="AY56">
        <f t="shared" si="111"/>
        <v>5.7527929315453932E-2</v>
      </c>
      <c r="AZ56">
        <f t="shared" si="111"/>
        <v>4.3822501666265661E-2</v>
      </c>
      <c r="BA56">
        <f t="shared" si="111"/>
        <v>3.251729998978229E-2</v>
      </c>
      <c r="BB56">
        <f t="shared" si="111"/>
        <v>2.3444124447452565E-2</v>
      </c>
      <c r="BC56">
        <f t="shared" si="111"/>
        <v>1.6377146259805402E-2</v>
      </c>
      <c r="BD56">
        <f t="shared" si="111"/>
        <v>1.1051373457171314E-2</v>
      </c>
      <c r="BE56">
        <f t="shared" si="111"/>
        <v>7.1797939642955855E-3</v>
      </c>
      <c r="BF56">
        <f t="shared" si="111"/>
        <v>4.4744668882804144E-3</v>
      </c>
      <c r="BG56">
        <f t="shared" si="111"/>
        <v>2.6641190465912326E-3</v>
      </c>
      <c r="BH56">
        <f t="shared" si="111"/>
        <v>1.5088398215521827E-3</v>
      </c>
      <c r="BI56">
        <f t="shared" si="111"/>
        <v>8.0892947100910022E-4</v>
      </c>
      <c r="BJ56">
        <f t="shared" si="111"/>
        <v>4.0837725385448628E-4</v>
      </c>
      <c r="BK56">
        <f t="shared" si="111"/>
        <v>1.9300494719153306E-4</v>
      </c>
      <c r="BL56">
        <f t="shared" si="111"/>
        <v>8.4854481696826426E-5</v>
      </c>
      <c r="BM56">
        <f t="shared" si="111"/>
        <v>3.4461930728616696E-5</v>
      </c>
      <c r="BN56">
        <f t="shared" si="111"/>
        <v>1.2830658395351882E-5</v>
      </c>
      <c r="BO56">
        <f t="shared" si="111"/>
        <v>4.3427862307166674E-6</v>
      </c>
      <c r="BP56">
        <f t="shared" si="111"/>
        <v>1.3244578760514806E-6</v>
      </c>
      <c r="BQ56">
        <f t="shared" si="111"/>
        <v>3.600816133047568E-7</v>
      </c>
      <c r="BR56">
        <f t="shared" si="111"/>
        <v>0</v>
      </c>
      <c r="BS56">
        <f t="shared" si="111"/>
        <v>0</v>
      </c>
      <c r="BT56">
        <f t="shared" si="111"/>
        <v>0</v>
      </c>
      <c r="BU56">
        <f t="shared" si="111"/>
        <v>0</v>
      </c>
      <c r="BV56">
        <f t="shared" si="111"/>
        <v>0</v>
      </c>
      <c r="BW56">
        <f t="shared" si="111"/>
        <v>0</v>
      </c>
      <c r="BX56">
        <f t="shared" si="111"/>
        <v>0</v>
      </c>
      <c r="BY56">
        <f t="shared" si="111"/>
        <v>0</v>
      </c>
      <c r="BZ56">
        <f t="shared" si="111"/>
        <v>0</v>
      </c>
      <c r="CA56">
        <f t="shared" si="111"/>
        <v>0</v>
      </c>
      <c r="CB56">
        <f t="shared" si="111"/>
        <v>0</v>
      </c>
      <c r="CC56">
        <f t="shared" si="111"/>
        <v>0</v>
      </c>
      <c r="CD56">
        <f t="shared" si="111"/>
        <v>0</v>
      </c>
      <c r="CE56">
        <f t="shared" si="111"/>
        <v>0</v>
      </c>
      <c r="CF56">
        <f t="shared" si="111"/>
        <v>0</v>
      </c>
      <c r="CG56">
        <f t="shared" si="111"/>
        <v>0</v>
      </c>
      <c r="CH56">
        <f t="shared" si="111"/>
        <v>0</v>
      </c>
      <c r="CI56">
        <f t="shared" si="111"/>
        <v>0</v>
      </c>
      <c r="CJ56">
        <f t="shared" si="111"/>
        <v>0</v>
      </c>
      <c r="CK56">
        <f t="shared" si="111"/>
        <v>0</v>
      </c>
      <c r="CL56">
        <f t="shared" si="111"/>
        <v>0</v>
      </c>
      <c r="CM56">
        <f t="shared" si="111"/>
        <v>0</v>
      </c>
      <c r="CN56">
        <f t="shared" si="111"/>
        <v>0</v>
      </c>
      <c r="CO56">
        <f t="shared" ref="CO56:DN56" si="112">CN57/CN$3</f>
        <v>0</v>
      </c>
      <c r="CP56">
        <f t="shared" si="112"/>
        <v>0</v>
      </c>
      <c r="CQ56">
        <f t="shared" si="112"/>
        <v>0</v>
      </c>
      <c r="CR56">
        <f t="shared" si="112"/>
        <v>0</v>
      </c>
      <c r="CS56">
        <f t="shared" si="112"/>
        <v>0</v>
      </c>
      <c r="CT56">
        <f t="shared" si="112"/>
        <v>0</v>
      </c>
      <c r="CU56">
        <f t="shared" si="112"/>
        <v>0</v>
      </c>
      <c r="CV56">
        <f t="shared" si="112"/>
        <v>0</v>
      </c>
      <c r="CW56">
        <f t="shared" si="112"/>
        <v>0</v>
      </c>
      <c r="CX56">
        <f t="shared" si="112"/>
        <v>0</v>
      </c>
      <c r="CY56">
        <f t="shared" si="112"/>
        <v>0</v>
      </c>
      <c r="CZ56">
        <f t="shared" si="112"/>
        <v>0</v>
      </c>
      <c r="DA56">
        <f t="shared" si="112"/>
        <v>0</v>
      </c>
      <c r="DB56">
        <f t="shared" si="112"/>
        <v>0</v>
      </c>
      <c r="DC56">
        <f t="shared" si="112"/>
        <v>0</v>
      </c>
      <c r="DD56">
        <f t="shared" si="112"/>
        <v>0</v>
      </c>
      <c r="DE56">
        <f t="shared" si="112"/>
        <v>0</v>
      </c>
      <c r="DF56">
        <f t="shared" si="112"/>
        <v>0</v>
      </c>
      <c r="DG56">
        <f t="shared" si="112"/>
        <v>0</v>
      </c>
      <c r="DH56">
        <f t="shared" si="112"/>
        <v>0</v>
      </c>
      <c r="DI56">
        <f t="shared" si="112"/>
        <v>0</v>
      </c>
      <c r="DJ56">
        <f t="shared" si="112"/>
        <v>0</v>
      </c>
      <c r="DK56">
        <f t="shared" si="112"/>
        <v>0</v>
      </c>
      <c r="DL56">
        <f t="shared" si="112"/>
        <v>0</v>
      </c>
      <c r="DM56">
        <f t="shared" si="112"/>
        <v>0</v>
      </c>
      <c r="DN56">
        <f t="shared" si="112"/>
        <v>0</v>
      </c>
    </row>
    <row r="57" spans="1:118" x14ac:dyDescent="0.2">
      <c r="A57">
        <v>53</v>
      </c>
      <c r="B57">
        <v>72</v>
      </c>
      <c r="C57">
        <f t="shared" si="2"/>
        <v>7.532985809081566E-2</v>
      </c>
      <c r="D57">
        <f t="shared" si="3"/>
        <v>5.6745875199824252E-3</v>
      </c>
      <c r="E57">
        <v>3.9619999999999995E-2</v>
      </c>
      <c r="F57">
        <f t="shared" si="0"/>
        <v>0.96038000000000001</v>
      </c>
      <c r="G57" s="34">
        <f t="shared" si="5"/>
        <v>0.6155852920800714</v>
      </c>
      <c r="H57" s="34"/>
      <c r="I57">
        <v>596.51366926740525</v>
      </c>
      <c r="J57">
        <v>72</v>
      </c>
      <c r="K57" s="38">
        <f t="shared" si="6"/>
        <v>596.5136692674065</v>
      </c>
      <c r="L57" s="22">
        <f t="shared" si="72"/>
        <v>443.89191329681245</v>
      </c>
      <c r="M57" s="23">
        <f t="shared" si="4"/>
        <v>439.52824054796787</v>
      </c>
      <c r="T57" s="60">
        <v>545.6</v>
      </c>
      <c r="U57">
        <v>3.9619999999999995E-2</v>
      </c>
      <c r="V57">
        <v>2.6315789473684209E-2</v>
      </c>
      <c r="W57">
        <v>3.9210560847676823E-2</v>
      </c>
      <c r="Z57">
        <f t="shared" si="10"/>
        <v>3.3180000000000001E-2</v>
      </c>
      <c r="AA57">
        <f t="shared" si="11"/>
        <v>0.96682000000000001</v>
      </c>
      <c r="AB57" s="34">
        <f t="shared" si="15"/>
        <v>0.66509738894413017</v>
      </c>
      <c r="AC57">
        <f t="shared" ref="AC57:CN57" si="113">AB58/AB$3</f>
        <v>0.64164184872520302</v>
      </c>
      <c r="AD57">
        <f t="shared" si="113"/>
        <v>0.61687388499680706</v>
      </c>
      <c r="AE57">
        <f t="shared" si="113"/>
        <v>0.59081314023069909</v>
      </c>
      <c r="AF57">
        <f t="shared" si="113"/>
        <v>0.56349852389838984</v>
      </c>
      <c r="AG57">
        <f t="shared" si="113"/>
        <v>0.53500258825221958</v>
      </c>
      <c r="AH57">
        <f t="shared" si="113"/>
        <v>0.50540758935262708</v>
      </c>
      <c r="AI57">
        <f t="shared" si="113"/>
        <v>0.4748370923486398</v>
      </c>
      <c r="AJ57">
        <f t="shared" si="113"/>
        <v>0.44343708876516963</v>
      </c>
      <c r="AK57">
        <f t="shared" si="113"/>
        <v>0.41138968818217703</v>
      </c>
      <c r="AL57">
        <f t="shared" si="113"/>
        <v>0.37890830234256834</v>
      </c>
      <c r="AM57">
        <f t="shared" si="113"/>
        <v>0.3462305114077196</v>
      </c>
      <c r="AN57">
        <f t="shared" si="113"/>
        <v>0.31363236031212999</v>
      </c>
      <c r="AO57">
        <f t="shared" si="113"/>
        <v>0.28140516656193637</v>
      </c>
      <c r="AP57">
        <f t="shared" si="113"/>
        <v>0.2498594616117949</v>
      </c>
      <c r="AQ57">
        <f t="shared" si="113"/>
        <v>0.2193210829703533</v>
      </c>
      <c r="AR57">
        <f t="shared" si="113"/>
        <v>0.19010801314074668</v>
      </c>
      <c r="AS57">
        <f t="shared" si="113"/>
        <v>0.16253086313761697</v>
      </c>
      <c r="AT57">
        <f t="shared" si="113"/>
        <v>0.13686886691616323</v>
      </c>
      <c r="AU57">
        <f t="shared" si="113"/>
        <v>0.11336337428900216</v>
      </c>
      <c r="AV57">
        <f t="shared" si="113"/>
        <v>9.2203499222445598E-2</v>
      </c>
      <c r="AW57">
        <f t="shared" si="113"/>
        <v>7.3512601158009033E-2</v>
      </c>
      <c r="AX57">
        <f t="shared" si="113"/>
        <v>5.7343839941644478E-2</v>
      </c>
      <c r="AY57">
        <f t="shared" si="113"/>
        <v>4.3671752260533707E-2</v>
      </c>
      <c r="AZ57">
        <f t="shared" si="113"/>
        <v>3.2396660806820202E-2</v>
      </c>
      <c r="BA57">
        <f t="shared" si="113"/>
        <v>2.3350347949662755E-2</v>
      </c>
      <c r="BB57">
        <f t="shared" si="113"/>
        <v>1.6306560759425638E-2</v>
      </c>
      <c r="BC57">
        <f t="shared" si="113"/>
        <v>1.0999874056860896E-2</v>
      </c>
      <c r="BD57">
        <f t="shared" si="113"/>
        <v>7.1436078027155353E-3</v>
      </c>
      <c r="BE57">
        <f t="shared" si="113"/>
        <v>4.4500362990704031E-3</v>
      </c>
      <c r="BF57">
        <f t="shared" si="113"/>
        <v>2.6483474618354125E-3</v>
      </c>
      <c r="BG57">
        <f t="shared" si="113"/>
        <v>1.4991530698978178E-3</v>
      </c>
      <c r="BH57">
        <f t="shared" si="113"/>
        <v>8.0329123259616675E-4</v>
      </c>
      <c r="BI57">
        <f t="shared" si="113"/>
        <v>4.0528175427026925E-4</v>
      </c>
      <c r="BJ57">
        <f t="shared" si="113"/>
        <v>1.9141458642667482E-4</v>
      </c>
      <c r="BK57">
        <f t="shared" si="113"/>
        <v>8.409418554082287E-5</v>
      </c>
      <c r="BL57">
        <f t="shared" si="113"/>
        <v>3.412592690401268E-5</v>
      </c>
      <c r="BM57">
        <f t="shared" si="113"/>
        <v>1.2694396803193245E-5</v>
      </c>
      <c r="BN57">
        <f t="shared" si="113"/>
        <v>4.2924967661649685E-6</v>
      </c>
      <c r="BO57">
        <f t="shared" si="113"/>
        <v>1.307743217655711E-6</v>
      </c>
      <c r="BP57">
        <f t="shared" si="113"/>
        <v>3.5512689030568336E-7</v>
      </c>
      <c r="BQ57">
        <f t="shared" si="113"/>
        <v>0</v>
      </c>
      <c r="BR57">
        <f t="shared" si="113"/>
        <v>0</v>
      </c>
      <c r="BS57">
        <f t="shared" si="113"/>
        <v>0</v>
      </c>
      <c r="BT57">
        <f t="shared" si="113"/>
        <v>0</v>
      </c>
      <c r="BU57">
        <f t="shared" si="113"/>
        <v>0</v>
      </c>
      <c r="BV57">
        <f t="shared" si="113"/>
        <v>0</v>
      </c>
      <c r="BW57">
        <f t="shared" si="113"/>
        <v>0</v>
      </c>
      <c r="BX57">
        <f t="shared" si="113"/>
        <v>0</v>
      </c>
      <c r="BY57">
        <f t="shared" si="113"/>
        <v>0</v>
      </c>
      <c r="BZ57">
        <f t="shared" si="113"/>
        <v>0</v>
      </c>
      <c r="CA57">
        <f t="shared" si="113"/>
        <v>0</v>
      </c>
      <c r="CB57">
        <f t="shared" si="113"/>
        <v>0</v>
      </c>
      <c r="CC57">
        <f t="shared" si="113"/>
        <v>0</v>
      </c>
      <c r="CD57">
        <f t="shared" si="113"/>
        <v>0</v>
      </c>
      <c r="CE57">
        <f t="shared" si="113"/>
        <v>0</v>
      </c>
      <c r="CF57">
        <f t="shared" si="113"/>
        <v>0</v>
      </c>
      <c r="CG57">
        <f t="shared" si="113"/>
        <v>0</v>
      </c>
      <c r="CH57">
        <f t="shared" si="113"/>
        <v>0</v>
      </c>
      <c r="CI57">
        <f t="shared" si="113"/>
        <v>0</v>
      </c>
      <c r="CJ57">
        <f t="shared" si="113"/>
        <v>0</v>
      </c>
      <c r="CK57">
        <f t="shared" si="113"/>
        <v>0</v>
      </c>
      <c r="CL57">
        <f t="shared" si="113"/>
        <v>0</v>
      </c>
      <c r="CM57">
        <f t="shared" si="113"/>
        <v>0</v>
      </c>
      <c r="CN57">
        <f t="shared" si="113"/>
        <v>0</v>
      </c>
      <c r="CO57">
        <f t="shared" ref="CO57:DN57" si="114">CN58/CN$3</f>
        <v>0</v>
      </c>
      <c r="CP57">
        <f t="shared" si="114"/>
        <v>0</v>
      </c>
      <c r="CQ57">
        <f t="shared" si="114"/>
        <v>0</v>
      </c>
      <c r="CR57">
        <f t="shared" si="114"/>
        <v>0</v>
      </c>
      <c r="CS57">
        <f t="shared" si="114"/>
        <v>0</v>
      </c>
      <c r="CT57">
        <f t="shared" si="114"/>
        <v>0</v>
      </c>
      <c r="CU57">
        <f t="shared" si="114"/>
        <v>0</v>
      </c>
      <c r="CV57">
        <f t="shared" si="114"/>
        <v>0</v>
      </c>
      <c r="CW57">
        <f t="shared" si="114"/>
        <v>0</v>
      </c>
      <c r="CX57">
        <f t="shared" si="114"/>
        <v>0</v>
      </c>
      <c r="CY57">
        <f t="shared" si="114"/>
        <v>0</v>
      </c>
      <c r="CZ57">
        <f t="shared" si="114"/>
        <v>0</v>
      </c>
      <c r="DA57">
        <f t="shared" si="114"/>
        <v>0</v>
      </c>
      <c r="DB57">
        <f t="shared" si="114"/>
        <v>0</v>
      </c>
      <c r="DC57">
        <f t="shared" si="114"/>
        <v>0</v>
      </c>
      <c r="DD57">
        <f t="shared" si="114"/>
        <v>0</v>
      </c>
      <c r="DE57">
        <f t="shared" si="114"/>
        <v>0</v>
      </c>
      <c r="DF57">
        <f t="shared" si="114"/>
        <v>0</v>
      </c>
      <c r="DG57">
        <f t="shared" si="114"/>
        <v>0</v>
      </c>
      <c r="DH57">
        <f t="shared" si="114"/>
        <v>0</v>
      </c>
      <c r="DI57">
        <f t="shared" si="114"/>
        <v>0</v>
      </c>
      <c r="DJ57">
        <f t="shared" si="114"/>
        <v>0</v>
      </c>
      <c r="DK57">
        <f t="shared" si="114"/>
        <v>0</v>
      </c>
      <c r="DL57">
        <f t="shared" si="114"/>
        <v>0</v>
      </c>
      <c r="DM57">
        <f t="shared" si="114"/>
        <v>0</v>
      </c>
      <c r="DN57">
        <f t="shared" si="114"/>
        <v>0</v>
      </c>
    </row>
    <row r="58" spans="1:118" x14ac:dyDescent="0.2">
      <c r="A58">
        <v>54</v>
      </c>
      <c r="B58">
        <v>73</v>
      </c>
      <c r="C58">
        <f t="shared" si="2"/>
        <v>7.1742721991253006E-2</v>
      </c>
      <c r="D58">
        <f t="shared" si="3"/>
        <v>5.1470181587142177E-3</v>
      </c>
      <c r="E58">
        <v>4.3299999999999998E-2</v>
      </c>
      <c r="F58">
        <f t="shared" si="0"/>
        <v>0.95669999999999999</v>
      </c>
      <c r="G58" s="34">
        <f t="shared" si="5"/>
        <v>0.58893044893300428</v>
      </c>
      <c r="H58" s="34"/>
      <c r="I58">
        <v>610.92416827794796</v>
      </c>
      <c r="J58">
        <v>73</v>
      </c>
      <c r="K58" s="38">
        <f t="shared" si="6"/>
        <v>610.92416827794921</v>
      </c>
      <c r="L58" s="22">
        <f t="shared" si="72"/>
        <v>451.65641460926531</v>
      </c>
      <c r="M58" s="23">
        <f t="shared" si="4"/>
        <v>439.52824054796787</v>
      </c>
      <c r="T58" s="60">
        <v>560.92999999999995</v>
      </c>
      <c r="U58">
        <v>4.3299999999999998E-2</v>
      </c>
      <c r="V58">
        <v>2.7027027027027029E-2</v>
      </c>
      <c r="W58">
        <v>3.9210560847676823E-2</v>
      </c>
      <c r="Z58">
        <f t="shared" si="10"/>
        <v>3.6260000000000001E-2</v>
      </c>
      <c r="AA58">
        <f t="shared" si="11"/>
        <v>0.96374000000000004</v>
      </c>
      <c r="AB58" s="34">
        <f t="shared" si="15"/>
        <v>0.64098095762101603</v>
      </c>
      <c r="AC58">
        <f t="shared" ref="AC58:CN58" si="115">AB59/AB$3</f>
        <v>0.61621999867871047</v>
      </c>
      <c r="AD58">
        <f t="shared" si="115"/>
        <v>0.5901632457764453</v>
      </c>
      <c r="AE58">
        <f t="shared" si="115"/>
        <v>0.56286177056638464</v>
      </c>
      <c r="AF58">
        <f t="shared" si="115"/>
        <v>0.53437128519808197</v>
      </c>
      <c r="AG58">
        <f t="shared" si="115"/>
        <v>0.50479099209361689</v>
      </c>
      <c r="AH58">
        <f t="shared" si="115"/>
        <v>0.47423404924135704</v>
      </c>
      <c r="AI58">
        <f t="shared" si="115"/>
        <v>0.44284731743711192</v>
      </c>
      <c r="AJ58">
        <f t="shared" si="115"/>
        <v>0.41081785651560382</v>
      </c>
      <c r="AK58">
        <f t="shared" si="115"/>
        <v>0.37835509622114816</v>
      </c>
      <c r="AL58">
        <f t="shared" si="115"/>
        <v>0.34570077872526578</v>
      </c>
      <c r="AM58">
        <f t="shared" si="115"/>
        <v>0.31312741221202745</v>
      </c>
      <c r="AN58">
        <f t="shared" si="115"/>
        <v>0.28092677777878106</v>
      </c>
      <c r="AO58">
        <f t="shared" si="115"/>
        <v>0.24941221317550979</v>
      </c>
      <c r="AP58">
        <f t="shared" si="115"/>
        <v>0.21890437291270962</v>
      </c>
      <c r="AQ58">
        <f t="shared" si="115"/>
        <v>0.18972589603433379</v>
      </c>
      <c r="AR58">
        <f t="shared" si="115"/>
        <v>0.16218304709050246</v>
      </c>
      <c r="AS58">
        <f t="shared" si="115"/>
        <v>0.1365568058995944</v>
      </c>
      <c r="AT58">
        <f t="shared" si="115"/>
        <v>0.11308790128947988</v>
      </c>
      <c r="AU58">
        <f t="shared" si="115"/>
        <v>9.1963770124467228E-2</v>
      </c>
      <c r="AV58">
        <f t="shared" si="115"/>
        <v>7.3308236126789772E-2</v>
      </c>
      <c r="AW58">
        <f t="shared" si="115"/>
        <v>5.7172955298618378E-2</v>
      </c>
      <c r="AX58">
        <f t="shared" si="115"/>
        <v>4.3532002653299998E-2</v>
      </c>
      <c r="AY58">
        <f t="shared" si="115"/>
        <v>3.2285216293644739E-2</v>
      </c>
      <c r="AZ58">
        <f t="shared" si="115"/>
        <v>2.3263718158769507E-2</v>
      </c>
      <c r="BA58">
        <f t="shared" si="115"/>
        <v>1.6241334516387936E-2</v>
      </c>
      <c r="BB58">
        <f t="shared" si="115"/>
        <v>1.0952464599675825E-2</v>
      </c>
      <c r="BC58">
        <f t="shared" si="115"/>
        <v>7.1103185903548813E-3</v>
      </c>
      <c r="BD58">
        <f t="shared" si="115"/>
        <v>4.4276081161230881E-3</v>
      </c>
      <c r="BE58">
        <f t="shared" si="115"/>
        <v>2.6338874846937909E-3</v>
      </c>
      <c r="BF58">
        <f t="shared" si="115"/>
        <v>1.4902780837240228E-3</v>
      </c>
      <c r="BG58">
        <f t="shared" si="115"/>
        <v>7.981341028828994E-4</v>
      </c>
      <c r="BH58">
        <f t="shared" si="115"/>
        <v>4.0245694044300546E-4</v>
      </c>
      <c r="BI58">
        <f t="shared" si="115"/>
        <v>1.8996366386156061E-4</v>
      </c>
      <c r="BJ58">
        <f t="shared" si="115"/>
        <v>8.3401249451966485E-5</v>
      </c>
      <c r="BK58">
        <f t="shared" si="115"/>
        <v>3.3820158598952728E-5</v>
      </c>
      <c r="BL58">
        <f t="shared" si="115"/>
        <v>1.2570626434362111E-5</v>
      </c>
      <c r="BM58">
        <f t="shared" si="115"/>
        <v>4.2469104505082964E-6</v>
      </c>
      <c r="BN58">
        <f t="shared" si="115"/>
        <v>1.2925995511952579E-6</v>
      </c>
      <c r="BO58">
        <f t="shared" si="115"/>
        <v>3.5064518895002564E-7</v>
      </c>
      <c r="BP58">
        <f t="shared" si="115"/>
        <v>0</v>
      </c>
      <c r="BQ58">
        <f t="shared" si="115"/>
        <v>0</v>
      </c>
      <c r="BR58">
        <f t="shared" si="115"/>
        <v>0</v>
      </c>
      <c r="BS58">
        <f t="shared" si="115"/>
        <v>0</v>
      </c>
      <c r="BT58">
        <f t="shared" si="115"/>
        <v>0</v>
      </c>
      <c r="BU58">
        <f t="shared" si="115"/>
        <v>0</v>
      </c>
      <c r="BV58">
        <f t="shared" si="115"/>
        <v>0</v>
      </c>
      <c r="BW58">
        <f t="shared" si="115"/>
        <v>0</v>
      </c>
      <c r="BX58">
        <f t="shared" si="115"/>
        <v>0</v>
      </c>
      <c r="BY58">
        <f t="shared" si="115"/>
        <v>0</v>
      </c>
      <c r="BZ58">
        <f t="shared" si="115"/>
        <v>0</v>
      </c>
      <c r="CA58">
        <f t="shared" si="115"/>
        <v>0</v>
      </c>
      <c r="CB58">
        <f t="shared" si="115"/>
        <v>0</v>
      </c>
      <c r="CC58">
        <f t="shared" si="115"/>
        <v>0</v>
      </c>
      <c r="CD58">
        <f t="shared" si="115"/>
        <v>0</v>
      </c>
      <c r="CE58">
        <f t="shared" si="115"/>
        <v>0</v>
      </c>
      <c r="CF58">
        <f t="shared" si="115"/>
        <v>0</v>
      </c>
      <c r="CG58">
        <f t="shared" si="115"/>
        <v>0</v>
      </c>
      <c r="CH58">
        <f t="shared" si="115"/>
        <v>0</v>
      </c>
      <c r="CI58">
        <f t="shared" si="115"/>
        <v>0</v>
      </c>
      <c r="CJ58">
        <f t="shared" si="115"/>
        <v>0</v>
      </c>
      <c r="CK58">
        <f t="shared" si="115"/>
        <v>0</v>
      </c>
      <c r="CL58">
        <f t="shared" si="115"/>
        <v>0</v>
      </c>
      <c r="CM58">
        <f t="shared" si="115"/>
        <v>0</v>
      </c>
      <c r="CN58">
        <f t="shared" si="115"/>
        <v>0</v>
      </c>
      <c r="CO58">
        <f t="shared" ref="CO58:DN58" si="116">CN59/CN$3</f>
        <v>0</v>
      </c>
      <c r="CP58">
        <f t="shared" si="116"/>
        <v>0</v>
      </c>
      <c r="CQ58">
        <f t="shared" si="116"/>
        <v>0</v>
      </c>
      <c r="CR58">
        <f t="shared" si="116"/>
        <v>0</v>
      </c>
      <c r="CS58">
        <f t="shared" si="116"/>
        <v>0</v>
      </c>
      <c r="CT58">
        <f t="shared" si="116"/>
        <v>0</v>
      </c>
      <c r="CU58">
        <f t="shared" si="116"/>
        <v>0</v>
      </c>
      <c r="CV58">
        <f t="shared" si="116"/>
        <v>0</v>
      </c>
      <c r="CW58">
        <f t="shared" si="116"/>
        <v>0</v>
      </c>
      <c r="CX58">
        <f t="shared" si="116"/>
        <v>0</v>
      </c>
      <c r="CY58">
        <f t="shared" si="116"/>
        <v>0</v>
      </c>
      <c r="CZ58">
        <f t="shared" si="116"/>
        <v>0</v>
      </c>
      <c r="DA58">
        <f t="shared" si="116"/>
        <v>0</v>
      </c>
      <c r="DB58">
        <f t="shared" si="116"/>
        <v>0</v>
      </c>
      <c r="DC58">
        <f t="shared" si="116"/>
        <v>0</v>
      </c>
      <c r="DD58">
        <f t="shared" si="116"/>
        <v>0</v>
      </c>
      <c r="DE58">
        <f t="shared" si="116"/>
        <v>0</v>
      </c>
      <c r="DF58">
        <f t="shared" si="116"/>
        <v>0</v>
      </c>
      <c r="DG58">
        <f t="shared" si="116"/>
        <v>0</v>
      </c>
      <c r="DH58">
        <f t="shared" si="116"/>
        <v>0</v>
      </c>
      <c r="DI58">
        <f t="shared" si="116"/>
        <v>0</v>
      </c>
      <c r="DJ58">
        <f t="shared" si="116"/>
        <v>0</v>
      </c>
      <c r="DK58">
        <f t="shared" si="116"/>
        <v>0</v>
      </c>
      <c r="DL58">
        <f t="shared" si="116"/>
        <v>0</v>
      </c>
      <c r="DM58">
        <f t="shared" si="116"/>
        <v>0</v>
      </c>
      <c r="DN58">
        <f t="shared" si="116"/>
        <v>0</v>
      </c>
    </row>
    <row r="59" spans="1:118" x14ac:dyDescent="0.2">
      <c r="A59">
        <v>55</v>
      </c>
      <c r="B59">
        <v>74</v>
      </c>
      <c r="C59">
        <f t="shared" si="2"/>
        <v>6.8326401896431424E-2</v>
      </c>
      <c r="D59">
        <f t="shared" si="3"/>
        <v>4.6684971961126675E-3</v>
      </c>
      <c r="E59">
        <v>4.7310000000000005E-2</v>
      </c>
      <c r="F59">
        <f t="shared" si="0"/>
        <v>0.95269000000000004</v>
      </c>
      <c r="G59" s="34">
        <f t="shared" si="5"/>
        <v>0.56106814939398386</v>
      </c>
      <c r="H59" s="34"/>
      <c r="I59">
        <v>625.2434166320113</v>
      </c>
      <c r="J59">
        <v>74</v>
      </c>
      <c r="K59" s="38">
        <f t="shared" si="6"/>
        <v>625.2434166320129</v>
      </c>
      <c r="L59" s="22">
        <f t="shared" si="72"/>
        <v>459.63476965472103</v>
      </c>
      <c r="M59" s="23">
        <f t="shared" si="4"/>
        <v>439.52824054796787</v>
      </c>
      <c r="T59" s="60">
        <v>576.24</v>
      </c>
      <c r="U59">
        <v>4.7310000000000005E-2</v>
      </c>
      <c r="V59">
        <v>2.7777777777777776E-2</v>
      </c>
      <c r="W59">
        <v>3.9210560847676823E-2</v>
      </c>
      <c r="Z59">
        <f t="shared" si="10"/>
        <v>3.9619999999999995E-2</v>
      </c>
      <c r="AA59">
        <f t="shared" si="11"/>
        <v>0.96038000000000001</v>
      </c>
      <c r="AB59" s="34">
        <f t="shared" si="15"/>
        <v>0.6155852920800714</v>
      </c>
      <c r="AC59">
        <f t="shared" ref="AC59:CN59" si="117">AB60/AB$3</f>
        <v>0.58953767273592228</v>
      </c>
      <c r="AD59">
        <f t="shared" si="117"/>
        <v>0.56224262261876168</v>
      </c>
      <c r="AE59">
        <f t="shared" si="117"/>
        <v>0.53376744564580814</v>
      </c>
      <c r="AF59">
        <f t="shared" si="117"/>
        <v>0.50419533872294642</v>
      </c>
      <c r="AG59">
        <f t="shared" si="117"/>
        <v>0.47365548370128258</v>
      </c>
      <c r="AH59">
        <f t="shared" si="117"/>
        <v>0.44228490134396681</v>
      </c>
      <c r="AI59">
        <f t="shared" si="117"/>
        <v>0.41027146876643805</v>
      </c>
      <c r="AJ59">
        <f t="shared" si="117"/>
        <v>0.37782918263740078</v>
      </c>
      <c r="AK59">
        <f t="shared" si="117"/>
        <v>0.34519605558832689</v>
      </c>
      <c r="AL59">
        <f t="shared" si="117"/>
        <v>0.31264832727134301</v>
      </c>
      <c r="AM59">
        <f t="shared" si="117"/>
        <v>0.28047448566655719</v>
      </c>
      <c r="AN59">
        <f t="shared" si="117"/>
        <v>0.24898821241311142</v>
      </c>
      <c r="AO59">
        <f t="shared" si="117"/>
        <v>0.21851253408519589</v>
      </c>
      <c r="AP59">
        <f t="shared" si="117"/>
        <v>0.18936541683186855</v>
      </c>
      <c r="AQ59">
        <f t="shared" si="117"/>
        <v>0.16185705916585055</v>
      </c>
      <c r="AR59">
        <f t="shared" si="117"/>
        <v>0.13626457433496927</v>
      </c>
      <c r="AS59">
        <f t="shared" si="117"/>
        <v>0.11283006087453987</v>
      </c>
      <c r="AT59">
        <f t="shared" si="117"/>
        <v>9.1740298163064768E-2</v>
      </c>
      <c r="AU59">
        <f t="shared" si="117"/>
        <v>7.3117634712860119E-2</v>
      </c>
      <c r="AV59">
        <f t="shared" si="117"/>
        <v>5.7014014482888217E-2</v>
      </c>
      <c r="AW59">
        <f t="shared" si="117"/>
        <v>4.3402277285393163E-2</v>
      </c>
      <c r="AX59">
        <f t="shared" si="117"/>
        <v>3.218190360150508E-2</v>
      </c>
      <c r="AY59">
        <f t="shared" si="117"/>
        <v>2.318369096830334E-2</v>
      </c>
      <c r="AZ59">
        <f t="shared" si="117"/>
        <v>1.6181079165332138E-2</v>
      </c>
      <c r="BA59">
        <f t="shared" si="117"/>
        <v>1.0908654741277122E-2</v>
      </c>
      <c r="BB59">
        <f t="shared" si="117"/>
        <v>7.0796731172304518E-3</v>
      </c>
      <c r="BC59">
        <f t="shared" si="117"/>
        <v>4.4069754623019541E-3</v>
      </c>
      <c r="BD59">
        <f t="shared" si="117"/>
        <v>2.620612691770934E-3</v>
      </c>
      <c r="BE59">
        <f t="shared" si="117"/>
        <v>1.4821411653868895E-3</v>
      </c>
      <c r="BF59">
        <f t="shared" si="117"/>
        <v>7.9340914899383259E-4</v>
      </c>
      <c r="BG59">
        <f t="shared" si="117"/>
        <v>3.9987316688536135E-4</v>
      </c>
      <c r="BH59">
        <f t="shared" si="117"/>
        <v>1.8863961712444553E-4</v>
      </c>
      <c r="BI59">
        <f t="shared" si="117"/>
        <v>8.2769067981120577E-5</v>
      </c>
      <c r="BJ59">
        <f t="shared" si="117"/>
        <v>3.3541480492097359E-5</v>
      </c>
      <c r="BK59">
        <f t="shared" si="117"/>
        <v>1.2457993621510228E-5</v>
      </c>
      <c r="BL59">
        <f t="shared" si="117"/>
        <v>4.2055030736158406E-6</v>
      </c>
      <c r="BM59">
        <f t="shared" si="117"/>
        <v>1.2788721439615643E-6</v>
      </c>
      <c r="BN59">
        <f t="shared" si="117"/>
        <v>3.4658471766198434E-7</v>
      </c>
      <c r="BO59">
        <f t="shared" si="117"/>
        <v>0</v>
      </c>
      <c r="BP59">
        <f t="shared" si="117"/>
        <v>0</v>
      </c>
      <c r="BQ59">
        <f t="shared" si="117"/>
        <v>0</v>
      </c>
      <c r="BR59">
        <f t="shared" si="117"/>
        <v>0</v>
      </c>
      <c r="BS59">
        <f t="shared" si="117"/>
        <v>0</v>
      </c>
      <c r="BT59">
        <f t="shared" si="117"/>
        <v>0</v>
      </c>
      <c r="BU59">
        <f t="shared" si="117"/>
        <v>0</v>
      </c>
      <c r="BV59">
        <f t="shared" si="117"/>
        <v>0</v>
      </c>
      <c r="BW59">
        <f t="shared" si="117"/>
        <v>0</v>
      </c>
      <c r="BX59">
        <f t="shared" si="117"/>
        <v>0</v>
      </c>
      <c r="BY59">
        <f t="shared" si="117"/>
        <v>0</v>
      </c>
      <c r="BZ59">
        <f t="shared" si="117"/>
        <v>0</v>
      </c>
      <c r="CA59">
        <f t="shared" si="117"/>
        <v>0</v>
      </c>
      <c r="CB59">
        <f t="shared" si="117"/>
        <v>0</v>
      </c>
      <c r="CC59">
        <f t="shared" si="117"/>
        <v>0</v>
      </c>
      <c r="CD59">
        <f t="shared" si="117"/>
        <v>0</v>
      </c>
      <c r="CE59">
        <f t="shared" si="117"/>
        <v>0</v>
      </c>
      <c r="CF59">
        <f t="shared" si="117"/>
        <v>0</v>
      </c>
      <c r="CG59">
        <f t="shared" si="117"/>
        <v>0</v>
      </c>
      <c r="CH59">
        <f t="shared" si="117"/>
        <v>0</v>
      </c>
      <c r="CI59">
        <f t="shared" si="117"/>
        <v>0</v>
      </c>
      <c r="CJ59">
        <f t="shared" si="117"/>
        <v>0</v>
      </c>
      <c r="CK59">
        <f t="shared" si="117"/>
        <v>0</v>
      </c>
      <c r="CL59">
        <f t="shared" si="117"/>
        <v>0</v>
      </c>
      <c r="CM59">
        <f t="shared" si="117"/>
        <v>0</v>
      </c>
      <c r="CN59">
        <f t="shared" si="117"/>
        <v>0</v>
      </c>
      <c r="CO59">
        <f t="shared" ref="CO59:DN59" si="118">CN60/CN$3</f>
        <v>0</v>
      </c>
      <c r="CP59">
        <f t="shared" si="118"/>
        <v>0</v>
      </c>
      <c r="CQ59">
        <f t="shared" si="118"/>
        <v>0</v>
      </c>
      <c r="CR59">
        <f t="shared" si="118"/>
        <v>0</v>
      </c>
      <c r="CS59">
        <f t="shared" si="118"/>
        <v>0</v>
      </c>
      <c r="CT59">
        <f t="shared" si="118"/>
        <v>0</v>
      </c>
      <c r="CU59">
        <f t="shared" si="118"/>
        <v>0</v>
      </c>
      <c r="CV59">
        <f t="shared" si="118"/>
        <v>0</v>
      </c>
      <c r="CW59">
        <f t="shared" si="118"/>
        <v>0</v>
      </c>
      <c r="CX59">
        <f t="shared" si="118"/>
        <v>0</v>
      </c>
      <c r="CY59">
        <f t="shared" si="118"/>
        <v>0</v>
      </c>
      <c r="CZ59">
        <f t="shared" si="118"/>
        <v>0</v>
      </c>
      <c r="DA59">
        <f t="shared" si="118"/>
        <v>0</v>
      </c>
      <c r="DB59">
        <f t="shared" si="118"/>
        <v>0</v>
      </c>
      <c r="DC59">
        <f t="shared" si="118"/>
        <v>0</v>
      </c>
      <c r="DD59">
        <f t="shared" si="118"/>
        <v>0</v>
      </c>
      <c r="DE59">
        <f t="shared" si="118"/>
        <v>0</v>
      </c>
      <c r="DF59">
        <f t="shared" si="118"/>
        <v>0</v>
      </c>
      <c r="DG59">
        <f t="shared" si="118"/>
        <v>0</v>
      </c>
      <c r="DH59">
        <f t="shared" si="118"/>
        <v>0</v>
      </c>
      <c r="DI59">
        <f t="shared" si="118"/>
        <v>0</v>
      </c>
      <c r="DJ59">
        <f t="shared" si="118"/>
        <v>0</v>
      </c>
      <c r="DK59">
        <f t="shared" si="118"/>
        <v>0</v>
      </c>
      <c r="DL59">
        <f t="shared" si="118"/>
        <v>0</v>
      </c>
      <c r="DM59">
        <f t="shared" si="118"/>
        <v>0</v>
      </c>
      <c r="DN59">
        <f t="shared" si="118"/>
        <v>0</v>
      </c>
    </row>
    <row r="60" spans="1:118" x14ac:dyDescent="0.2">
      <c r="A60">
        <v>56</v>
      </c>
      <c r="B60">
        <v>75</v>
      </c>
      <c r="C60">
        <f t="shared" si="2"/>
        <v>6.5072763710887077E-2</v>
      </c>
      <c r="D60">
        <f t="shared" si="3"/>
        <v>4.2344645769729419E-3</v>
      </c>
      <c r="E60">
        <v>5.169E-2</v>
      </c>
      <c r="F60">
        <f t="shared" si="0"/>
        <v>0.94830999999999999</v>
      </c>
      <c r="G60" s="34">
        <f t="shared" si="5"/>
        <v>0.53206653675180882</v>
      </c>
      <c r="H60" s="34"/>
      <c r="I60">
        <v>639.44786600427426</v>
      </c>
      <c r="J60">
        <v>75</v>
      </c>
      <c r="K60" s="38">
        <f t="shared" si="6"/>
        <v>639.44786600427574</v>
      </c>
      <c r="L60" s="22">
        <f t="shared" si="72"/>
        <v>467.83412265567017</v>
      </c>
      <c r="M60" s="23">
        <f t="shared" si="4"/>
        <v>439.52824054796787</v>
      </c>
      <c r="T60" s="58">
        <v>591.49</v>
      </c>
      <c r="U60">
        <v>5.169E-2</v>
      </c>
      <c r="V60">
        <v>2.8571428571428571E-2</v>
      </c>
      <c r="W60">
        <v>3.9210560847676823E-2</v>
      </c>
      <c r="Z60">
        <f t="shared" si="10"/>
        <v>4.3299999999999998E-2</v>
      </c>
      <c r="AA60">
        <f t="shared" si="11"/>
        <v>0.95669999999999999</v>
      </c>
      <c r="AB60" s="34">
        <f t="shared" si="15"/>
        <v>0.58893044893300428</v>
      </c>
      <c r="AC60">
        <f t="shared" ref="AC60:CN60" si="119">AB61/AB$3</f>
        <v>0.56164664543878584</v>
      </c>
      <c r="AD60">
        <f t="shared" si="119"/>
        <v>0.5331803014555978</v>
      </c>
      <c r="AE60">
        <f t="shared" si="119"/>
        <v>0.50362559799018947</v>
      </c>
      <c r="AF60">
        <f t="shared" si="119"/>
        <v>0.4730965702305151</v>
      </c>
      <c r="AG60">
        <f t="shared" si="119"/>
        <v>0.44174531376432719</v>
      </c>
      <c r="AH60">
        <f t="shared" si="119"/>
        <v>0.40975042400110467</v>
      </c>
      <c r="AI60">
        <f t="shared" si="119"/>
        <v>0.37732666982449303</v>
      </c>
      <c r="AJ60">
        <f t="shared" si="119"/>
        <v>0.34471623307105909</v>
      </c>
      <c r="AK60">
        <f t="shared" si="119"/>
        <v>0.31219186071352684</v>
      </c>
      <c r="AL60">
        <f t="shared" si="119"/>
        <v>0.28004535970348737</v>
      </c>
      <c r="AM60">
        <f t="shared" si="119"/>
        <v>0.24858734139112632</v>
      </c>
      <c r="AN60">
        <f t="shared" si="119"/>
        <v>0.21814106277725104</v>
      </c>
      <c r="AO60">
        <f t="shared" si="119"/>
        <v>0.18902645273573951</v>
      </c>
      <c r="AP60">
        <f t="shared" si="119"/>
        <v>0.16154953075343542</v>
      </c>
      <c r="AQ60">
        <f t="shared" si="119"/>
        <v>0.13599068254055599</v>
      </c>
      <c r="AR60">
        <f t="shared" si="119"/>
        <v>0.11258860454426835</v>
      </c>
      <c r="AS60">
        <f t="shared" si="119"/>
        <v>9.1531130283252979E-2</v>
      </c>
      <c r="AT60">
        <f t="shared" si="119"/>
        <v>7.2939958860507872E-2</v>
      </c>
      <c r="AU60">
        <f t="shared" si="119"/>
        <v>5.6865778045232705E-2</v>
      </c>
      <c r="AV60">
        <f t="shared" si="119"/>
        <v>4.3281618954539768E-2</v>
      </c>
      <c r="AW60">
        <f t="shared" si="119"/>
        <v>3.2086001528772598E-2</v>
      </c>
      <c r="AX60">
        <f t="shared" si="119"/>
        <v>2.310950315720477E-2</v>
      </c>
      <c r="AY60">
        <f t="shared" si="119"/>
        <v>1.6125416253003396E-2</v>
      </c>
      <c r="AZ60">
        <f t="shared" si="119"/>
        <v>1.0868183632186983E-2</v>
      </c>
      <c r="BA60">
        <f t="shared" si="119"/>
        <v>7.0513544247615299E-3</v>
      </c>
      <c r="BB60">
        <f t="shared" si="119"/>
        <v>4.3879813980594326E-3</v>
      </c>
      <c r="BC60">
        <f t="shared" si="119"/>
        <v>2.6084006366272816E-3</v>
      </c>
      <c r="BD60">
        <f t="shared" si="119"/>
        <v>1.4746711739133396E-3</v>
      </c>
      <c r="BE60">
        <f t="shared" si="119"/>
        <v>7.8907713504032626E-4</v>
      </c>
      <c r="BF60">
        <f t="shared" si="119"/>
        <v>3.975059177374E-4</v>
      </c>
      <c r="BG60">
        <f t="shared" si="119"/>
        <v>1.8742855078250661E-4</v>
      </c>
      <c r="BH60">
        <f t="shared" si="119"/>
        <v>8.219216757729216E-5</v>
      </c>
      <c r="BI60">
        <f t="shared" si="119"/>
        <v>3.328723606996726E-5</v>
      </c>
      <c r="BJ60">
        <f t="shared" si="119"/>
        <v>1.2355339754068982E-5</v>
      </c>
      <c r="BK60">
        <f t="shared" si="119"/>
        <v>4.1678217660762428E-6</v>
      </c>
      <c r="BL60">
        <f t="shared" si="119"/>
        <v>1.2664031405579389E-6</v>
      </c>
      <c r="BM60">
        <f t="shared" si="119"/>
        <v>3.4290398796041407E-7</v>
      </c>
      <c r="BN60">
        <f t="shared" si="119"/>
        <v>0</v>
      </c>
      <c r="BO60">
        <f t="shared" si="119"/>
        <v>0</v>
      </c>
      <c r="BP60">
        <f t="shared" si="119"/>
        <v>0</v>
      </c>
      <c r="BQ60">
        <f t="shared" si="119"/>
        <v>0</v>
      </c>
      <c r="BR60">
        <f t="shared" si="119"/>
        <v>0</v>
      </c>
      <c r="BS60">
        <f t="shared" si="119"/>
        <v>0</v>
      </c>
      <c r="BT60">
        <f t="shared" si="119"/>
        <v>0</v>
      </c>
      <c r="BU60">
        <f t="shared" si="119"/>
        <v>0</v>
      </c>
      <c r="BV60">
        <f t="shared" si="119"/>
        <v>0</v>
      </c>
      <c r="BW60">
        <f t="shared" si="119"/>
        <v>0</v>
      </c>
      <c r="BX60">
        <f t="shared" si="119"/>
        <v>0</v>
      </c>
      <c r="BY60">
        <f t="shared" si="119"/>
        <v>0</v>
      </c>
      <c r="BZ60">
        <f t="shared" si="119"/>
        <v>0</v>
      </c>
      <c r="CA60">
        <f t="shared" si="119"/>
        <v>0</v>
      </c>
      <c r="CB60">
        <f t="shared" si="119"/>
        <v>0</v>
      </c>
      <c r="CC60">
        <f t="shared" si="119"/>
        <v>0</v>
      </c>
      <c r="CD60">
        <f t="shared" si="119"/>
        <v>0</v>
      </c>
      <c r="CE60">
        <f t="shared" si="119"/>
        <v>0</v>
      </c>
      <c r="CF60">
        <f t="shared" si="119"/>
        <v>0</v>
      </c>
      <c r="CG60">
        <f t="shared" si="119"/>
        <v>0</v>
      </c>
      <c r="CH60">
        <f t="shared" si="119"/>
        <v>0</v>
      </c>
      <c r="CI60">
        <f t="shared" si="119"/>
        <v>0</v>
      </c>
      <c r="CJ60">
        <f t="shared" si="119"/>
        <v>0</v>
      </c>
      <c r="CK60">
        <f t="shared" si="119"/>
        <v>0</v>
      </c>
      <c r="CL60">
        <f t="shared" si="119"/>
        <v>0</v>
      </c>
      <c r="CM60">
        <f t="shared" si="119"/>
        <v>0</v>
      </c>
      <c r="CN60">
        <f t="shared" si="119"/>
        <v>0</v>
      </c>
      <c r="CO60">
        <f t="shared" ref="CO60:DN60" si="120">CN61/CN$3</f>
        <v>0</v>
      </c>
      <c r="CP60">
        <f t="shared" si="120"/>
        <v>0</v>
      </c>
      <c r="CQ60">
        <f t="shared" si="120"/>
        <v>0</v>
      </c>
      <c r="CR60">
        <f t="shared" si="120"/>
        <v>0</v>
      </c>
      <c r="CS60">
        <f t="shared" si="120"/>
        <v>0</v>
      </c>
      <c r="CT60">
        <f t="shared" si="120"/>
        <v>0</v>
      </c>
      <c r="CU60">
        <f t="shared" si="120"/>
        <v>0</v>
      </c>
      <c r="CV60">
        <f t="shared" si="120"/>
        <v>0</v>
      </c>
      <c r="CW60">
        <f t="shared" si="120"/>
        <v>0</v>
      </c>
      <c r="CX60">
        <f t="shared" si="120"/>
        <v>0</v>
      </c>
      <c r="CY60">
        <f t="shared" si="120"/>
        <v>0</v>
      </c>
      <c r="CZ60">
        <f t="shared" si="120"/>
        <v>0</v>
      </c>
      <c r="DA60">
        <f t="shared" si="120"/>
        <v>0</v>
      </c>
      <c r="DB60">
        <f t="shared" si="120"/>
        <v>0</v>
      </c>
      <c r="DC60">
        <f t="shared" si="120"/>
        <v>0</v>
      </c>
      <c r="DD60">
        <f t="shared" si="120"/>
        <v>0</v>
      </c>
      <c r="DE60">
        <f t="shared" si="120"/>
        <v>0</v>
      </c>
      <c r="DF60">
        <f t="shared" si="120"/>
        <v>0</v>
      </c>
      <c r="DG60">
        <f t="shared" si="120"/>
        <v>0</v>
      </c>
      <c r="DH60">
        <f t="shared" si="120"/>
        <v>0</v>
      </c>
      <c r="DI60">
        <f t="shared" si="120"/>
        <v>0</v>
      </c>
      <c r="DJ60">
        <f t="shared" si="120"/>
        <v>0</v>
      </c>
      <c r="DK60">
        <f t="shared" si="120"/>
        <v>0</v>
      </c>
      <c r="DL60">
        <f t="shared" si="120"/>
        <v>0</v>
      </c>
      <c r="DM60">
        <f t="shared" si="120"/>
        <v>0</v>
      </c>
      <c r="DN60">
        <f t="shared" si="120"/>
        <v>0</v>
      </c>
    </row>
    <row r="61" spans="1:118" x14ac:dyDescent="0.2">
      <c r="A61">
        <v>57</v>
      </c>
      <c r="B61">
        <v>76</v>
      </c>
      <c r="C61">
        <f t="shared" si="2"/>
        <v>6.1974060677035314E-2</v>
      </c>
      <c r="D61">
        <f t="shared" si="3"/>
        <v>3.840784196800855E-3</v>
      </c>
      <c r="E61">
        <v>5.6469999999999999E-2</v>
      </c>
      <c r="F61">
        <f t="shared" si="0"/>
        <v>0.94352999999999998</v>
      </c>
      <c r="G61" s="34">
        <f t="shared" si="5"/>
        <v>0.50202073942143421</v>
      </c>
      <c r="H61" s="34"/>
      <c r="I61">
        <v>653.51020162656505</v>
      </c>
      <c r="J61">
        <v>76</v>
      </c>
      <c r="K61" s="38">
        <f t="shared" si="6"/>
        <v>653.51020162656687</v>
      </c>
      <c r="L61" s="22">
        <f t="shared" si="72"/>
        <v>476.26188257634936</v>
      </c>
      <c r="M61" s="23">
        <f t="shared" si="4"/>
        <v>439.52824054796787</v>
      </c>
      <c r="T61" s="59">
        <v>606.65</v>
      </c>
      <c r="U61">
        <v>5.6469999999999999E-2</v>
      </c>
      <c r="V61">
        <v>2.9411764705882353E-2</v>
      </c>
      <c r="W61">
        <v>3.9210560847676823E-2</v>
      </c>
      <c r="Z61">
        <f t="shared" si="10"/>
        <v>4.7310000000000005E-2</v>
      </c>
      <c r="AA61">
        <f t="shared" si="11"/>
        <v>0.95269000000000004</v>
      </c>
      <c r="AB61" s="34">
        <f t="shared" si="15"/>
        <v>0.56106814939398386</v>
      </c>
      <c r="AC61">
        <f t="shared" ref="AC61:CN61" si="121">AB62/AB$3</f>
        <v>0.5326151303360549</v>
      </c>
      <c r="AD61">
        <f t="shared" si="121"/>
        <v>0.50307160983240029</v>
      </c>
      <c r="AE61">
        <f t="shared" si="121"/>
        <v>0.47256197110615461</v>
      </c>
      <c r="AF61">
        <f t="shared" si="121"/>
        <v>0.44122405429408529</v>
      </c>
      <c r="AG61">
        <f t="shared" si="121"/>
        <v>0.40925052848382332</v>
      </c>
      <c r="AH61">
        <f t="shared" si="121"/>
        <v>0.37684746495381594</v>
      </c>
      <c r="AI61">
        <f t="shared" si="121"/>
        <v>0.34425776048107454</v>
      </c>
      <c r="AJ61">
        <f t="shared" si="121"/>
        <v>0.31175791402713504</v>
      </c>
      <c r="AK61">
        <f t="shared" si="121"/>
        <v>0.27963649347832026</v>
      </c>
      <c r="AL61">
        <f t="shared" si="121"/>
        <v>0.2482070027587979</v>
      </c>
      <c r="AM61">
        <f t="shared" si="121"/>
        <v>0.21778985566617967</v>
      </c>
      <c r="AN61">
        <f t="shared" si="121"/>
        <v>0.18870510776608873</v>
      </c>
      <c r="AO61">
        <f t="shared" si="121"/>
        <v>0.16126035709338679</v>
      </c>
      <c r="AP61">
        <f t="shared" si="121"/>
        <v>0.13573230024372893</v>
      </c>
      <c r="AQ61">
        <f t="shared" si="121"/>
        <v>0.11236230144913437</v>
      </c>
      <c r="AR61">
        <f t="shared" si="121"/>
        <v>9.1335253664446808E-2</v>
      </c>
      <c r="AS61">
        <f t="shared" si="121"/>
        <v>7.2773655754305916E-2</v>
      </c>
      <c r="AT61">
        <f t="shared" si="121"/>
        <v>5.6727594204582787E-2</v>
      </c>
      <c r="AU61">
        <f t="shared" si="121"/>
        <v>4.3169086745257962E-2</v>
      </c>
      <c r="AV61">
        <f t="shared" si="121"/>
        <v>3.1996802444522611E-2</v>
      </c>
      <c r="AW61">
        <f t="shared" si="121"/>
        <v>2.3040636837796301E-2</v>
      </c>
      <c r="AX61">
        <f t="shared" si="121"/>
        <v>1.6073814920993787E-2</v>
      </c>
      <c r="AY61">
        <f t="shared" si="121"/>
        <v>1.083079708049226E-2</v>
      </c>
      <c r="AZ61">
        <f t="shared" si="121"/>
        <v>7.0251938998456649E-3</v>
      </c>
      <c r="BA61">
        <f t="shared" si="121"/>
        <v>4.370429472467195E-3</v>
      </c>
      <c r="BB61">
        <f t="shared" si="121"/>
        <v>2.5971584298834179E-3</v>
      </c>
      <c r="BC61">
        <f t="shared" si="121"/>
        <v>1.4677992062429035E-3</v>
      </c>
      <c r="BD61">
        <f t="shared" si="121"/>
        <v>7.8510018627972293E-4</v>
      </c>
      <c r="BE61">
        <f t="shared" si="121"/>
        <v>3.9533553542655381E-4</v>
      </c>
      <c r="BF61">
        <f t="shared" si="121"/>
        <v>1.8631897376187415E-4</v>
      </c>
      <c r="BG61">
        <f t="shared" si="121"/>
        <v>8.1664493861445943E-5</v>
      </c>
      <c r="BH61">
        <f t="shared" si="121"/>
        <v>3.3055224034559589E-5</v>
      </c>
      <c r="BI61">
        <f t="shared" si="121"/>
        <v>1.2261686278733139E-5</v>
      </c>
      <c r="BJ61">
        <f t="shared" si="121"/>
        <v>4.1334789147237743E-6</v>
      </c>
      <c r="BK61">
        <f t="shared" si="121"/>
        <v>1.2550561684185398E-6</v>
      </c>
      <c r="BL61">
        <f t="shared" si="121"/>
        <v>3.3956067407780004E-7</v>
      </c>
      <c r="BM61">
        <f t="shared" si="121"/>
        <v>0</v>
      </c>
      <c r="BN61">
        <f t="shared" si="121"/>
        <v>0</v>
      </c>
      <c r="BO61">
        <f t="shared" si="121"/>
        <v>0</v>
      </c>
      <c r="BP61">
        <f t="shared" si="121"/>
        <v>0</v>
      </c>
      <c r="BQ61">
        <f t="shared" si="121"/>
        <v>0</v>
      </c>
      <c r="BR61">
        <f t="shared" si="121"/>
        <v>0</v>
      </c>
      <c r="BS61">
        <f t="shared" si="121"/>
        <v>0</v>
      </c>
      <c r="BT61">
        <f t="shared" si="121"/>
        <v>0</v>
      </c>
      <c r="BU61">
        <f t="shared" si="121"/>
        <v>0</v>
      </c>
      <c r="BV61">
        <f t="shared" si="121"/>
        <v>0</v>
      </c>
      <c r="BW61">
        <f t="shared" si="121"/>
        <v>0</v>
      </c>
      <c r="BX61">
        <f t="shared" si="121"/>
        <v>0</v>
      </c>
      <c r="BY61">
        <f t="shared" si="121"/>
        <v>0</v>
      </c>
      <c r="BZ61">
        <f t="shared" si="121"/>
        <v>0</v>
      </c>
      <c r="CA61">
        <f t="shared" si="121"/>
        <v>0</v>
      </c>
      <c r="CB61">
        <f t="shared" si="121"/>
        <v>0</v>
      </c>
      <c r="CC61">
        <f t="shared" si="121"/>
        <v>0</v>
      </c>
      <c r="CD61">
        <f t="shared" si="121"/>
        <v>0</v>
      </c>
      <c r="CE61">
        <f t="shared" si="121"/>
        <v>0</v>
      </c>
      <c r="CF61">
        <f t="shared" si="121"/>
        <v>0</v>
      </c>
      <c r="CG61">
        <f t="shared" si="121"/>
        <v>0</v>
      </c>
      <c r="CH61">
        <f t="shared" si="121"/>
        <v>0</v>
      </c>
      <c r="CI61">
        <f t="shared" si="121"/>
        <v>0</v>
      </c>
      <c r="CJ61">
        <f t="shared" si="121"/>
        <v>0</v>
      </c>
      <c r="CK61">
        <f t="shared" si="121"/>
        <v>0</v>
      </c>
      <c r="CL61">
        <f t="shared" si="121"/>
        <v>0</v>
      </c>
      <c r="CM61">
        <f t="shared" si="121"/>
        <v>0</v>
      </c>
      <c r="CN61">
        <f t="shared" si="121"/>
        <v>0</v>
      </c>
      <c r="CO61">
        <f t="shared" ref="CO61:DN61" si="122">CN62/CN$3</f>
        <v>0</v>
      </c>
      <c r="CP61">
        <f t="shared" si="122"/>
        <v>0</v>
      </c>
      <c r="CQ61">
        <f t="shared" si="122"/>
        <v>0</v>
      </c>
      <c r="CR61">
        <f t="shared" si="122"/>
        <v>0</v>
      </c>
      <c r="CS61">
        <f t="shared" si="122"/>
        <v>0</v>
      </c>
      <c r="CT61">
        <f t="shared" si="122"/>
        <v>0</v>
      </c>
      <c r="CU61">
        <f t="shared" si="122"/>
        <v>0</v>
      </c>
      <c r="CV61">
        <f t="shared" si="122"/>
        <v>0</v>
      </c>
      <c r="CW61">
        <f t="shared" si="122"/>
        <v>0</v>
      </c>
      <c r="CX61">
        <f t="shared" si="122"/>
        <v>0</v>
      </c>
      <c r="CY61">
        <f t="shared" si="122"/>
        <v>0</v>
      </c>
      <c r="CZ61">
        <f t="shared" si="122"/>
        <v>0</v>
      </c>
      <c r="DA61">
        <f t="shared" si="122"/>
        <v>0</v>
      </c>
      <c r="DB61">
        <f t="shared" si="122"/>
        <v>0</v>
      </c>
      <c r="DC61">
        <f t="shared" si="122"/>
        <v>0</v>
      </c>
      <c r="DD61">
        <f t="shared" si="122"/>
        <v>0</v>
      </c>
      <c r="DE61">
        <f t="shared" si="122"/>
        <v>0</v>
      </c>
      <c r="DF61">
        <f t="shared" si="122"/>
        <v>0</v>
      </c>
      <c r="DG61">
        <f t="shared" si="122"/>
        <v>0</v>
      </c>
      <c r="DH61">
        <f t="shared" si="122"/>
        <v>0</v>
      </c>
      <c r="DI61">
        <f t="shared" si="122"/>
        <v>0</v>
      </c>
      <c r="DJ61">
        <f t="shared" si="122"/>
        <v>0</v>
      </c>
      <c r="DK61">
        <f t="shared" si="122"/>
        <v>0</v>
      </c>
      <c r="DL61">
        <f t="shared" si="122"/>
        <v>0</v>
      </c>
      <c r="DM61">
        <f t="shared" si="122"/>
        <v>0</v>
      </c>
      <c r="DN61">
        <f t="shared" si="122"/>
        <v>0</v>
      </c>
    </row>
    <row r="62" spans="1:118" x14ac:dyDescent="0.2">
      <c r="A62">
        <v>58</v>
      </c>
      <c r="B62">
        <v>77</v>
      </c>
      <c r="C62">
        <f t="shared" si="2"/>
        <v>5.9022914930509818E-2</v>
      </c>
      <c r="D62">
        <f t="shared" si="3"/>
        <v>3.4837044868941988E-3</v>
      </c>
      <c r="E62">
        <v>6.1679999999999999E-2</v>
      </c>
      <c r="F62">
        <f t="shared" si="0"/>
        <v>0.93832000000000004</v>
      </c>
      <c r="G62" s="34">
        <f t="shared" si="5"/>
        <v>0.47105610021392019</v>
      </c>
      <c r="H62" s="34"/>
      <c r="I62">
        <v>667.40401652082437</v>
      </c>
      <c r="J62">
        <v>77</v>
      </c>
      <c r="K62" s="38">
        <f t="shared" si="6"/>
        <v>667.40401652082642</v>
      </c>
      <c r="L62" s="22">
        <f t="shared" si="72"/>
        <v>484.92573357502039</v>
      </c>
      <c r="M62" s="23">
        <f t="shared" si="4"/>
        <v>439.52824054796787</v>
      </c>
      <c r="T62" s="60">
        <v>621.67999999999995</v>
      </c>
      <c r="U62">
        <v>6.1679999999999999E-2</v>
      </c>
      <c r="V62">
        <v>3.0303030303030304E-2</v>
      </c>
      <c r="W62">
        <v>3.9210560847676823E-2</v>
      </c>
      <c r="Z62">
        <f t="shared" si="10"/>
        <v>5.169E-2</v>
      </c>
      <c r="AA62">
        <f t="shared" si="11"/>
        <v>0.94830999999999999</v>
      </c>
      <c r="AB62" s="34">
        <f t="shared" si="15"/>
        <v>0.53206653675180882</v>
      </c>
      <c r="AC62">
        <f t="shared" ref="AC62:CN62" si="123">AB63/AB$3</f>
        <v>0.50253835392597801</v>
      </c>
      <c r="AD62">
        <f t="shared" si="123"/>
        <v>0.47204215293793783</v>
      </c>
      <c r="AE62">
        <f t="shared" si="123"/>
        <v>0.44072547111273297</v>
      </c>
      <c r="AF62">
        <f t="shared" si="123"/>
        <v>0.4087676128602124</v>
      </c>
      <c r="AG62">
        <f t="shared" si="123"/>
        <v>0.37638771104657226</v>
      </c>
      <c r="AH62">
        <f t="shared" si="123"/>
        <v>0.34382055312526355</v>
      </c>
      <c r="AI62">
        <f t="shared" si="123"/>
        <v>0.31134327600147893</v>
      </c>
      <c r="AJ62">
        <f t="shared" si="123"/>
        <v>0.27924779875238537</v>
      </c>
      <c r="AK62">
        <f t="shared" si="123"/>
        <v>0.24784462053477005</v>
      </c>
      <c r="AL62">
        <f t="shared" si="123"/>
        <v>0.21745663718701042</v>
      </c>
      <c r="AM62">
        <f t="shared" si="123"/>
        <v>0.18840129254258534</v>
      </c>
      <c r="AN62">
        <f t="shared" si="123"/>
        <v>0.16098621448632802</v>
      </c>
      <c r="AO62">
        <f t="shared" si="123"/>
        <v>0.13548933942629265</v>
      </c>
      <c r="AP62">
        <f t="shared" si="123"/>
        <v>0.11214881307638101</v>
      </c>
      <c r="AQ62">
        <f t="shared" si="123"/>
        <v>9.1151669804581267E-2</v>
      </c>
      <c r="AR62">
        <f t="shared" si="123"/>
        <v>7.2617920130991692E-2</v>
      </c>
      <c r="AS62">
        <f t="shared" si="123"/>
        <v>5.659825528979634E-2</v>
      </c>
      <c r="AT62">
        <f t="shared" si="123"/>
        <v>4.3064185864466982E-2</v>
      </c>
      <c r="AU62">
        <f t="shared" si="123"/>
        <v>3.1913610758166851E-2</v>
      </c>
      <c r="AV62">
        <f t="shared" si="123"/>
        <v>2.2976583867387226E-2</v>
      </c>
      <c r="AW62">
        <f t="shared" si="123"/>
        <v>1.6025914952529224E-2</v>
      </c>
      <c r="AX62">
        <f t="shared" si="123"/>
        <v>1.0796138529834685E-2</v>
      </c>
      <c r="AY62">
        <f t="shared" si="123"/>
        <v>7.001027232830196E-3</v>
      </c>
      <c r="AZ62">
        <f t="shared" si="123"/>
        <v>4.3542151791243419E-3</v>
      </c>
      <c r="BA62">
        <f t="shared" si="123"/>
        <v>2.5867697961638844E-3</v>
      </c>
      <c r="BB62">
        <f t="shared" si="123"/>
        <v>1.4614729916639965E-3</v>
      </c>
      <c r="BC62">
        <f t="shared" si="123"/>
        <v>7.8144161941165946E-4</v>
      </c>
      <c r="BD62">
        <f t="shared" si="123"/>
        <v>3.9334304432800399E-4</v>
      </c>
      <c r="BE62">
        <f t="shared" si="123"/>
        <v>1.8530167216513431E-4</v>
      </c>
      <c r="BF62">
        <f t="shared" si="123"/>
        <v>8.1181040057786184E-5</v>
      </c>
      <c r="BG62">
        <f t="shared" si="123"/>
        <v>3.2843009496257713E-5</v>
      </c>
      <c r="BH62">
        <f t="shared" si="123"/>
        <v>1.2176222325370369E-5</v>
      </c>
      <c r="BI62">
        <f t="shared" si="123"/>
        <v>4.1021471445501682E-6</v>
      </c>
      <c r="BJ62">
        <f t="shared" si="123"/>
        <v>1.2447145055907711E-6</v>
      </c>
      <c r="BK62">
        <f t="shared" si="123"/>
        <v>3.3651821043806296E-7</v>
      </c>
      <c r="BL62">
        <f t="shared" si="123"/>
        <v>0</v>
      </c>
      <c r="BM62">
        <f t="shared" si="123"/>
        <v>0</v>
      </c>
      <c r="BN62">
        <f t="shared" si="123"/>
        <v>0</v>
      </c>
      <c r="BO62">
        <f t="shared" si="123"/>
        <v>0</v>
      </c>
      <c r="BP62">
        <f t="shared" si="123"/>
        <v>0</v>
      </c>
      <c r="BQ62">
        <f t="shared" si="123"/>
        <v>0</v>
      </c>
      <c r="BR62">
        <f t="shared" si="123"/>
        <v>0</v>
      </c>
      <c r="BS62">
        <f t="shared" si="123"/>
        <v>0</v>
      </c>
      <c r="BT62">
        <f t="shared" si="123"/>
        <v>0</v>
      </c>
      <c r="BU62">
        <f t="shared" si="123"/>
        <v>0</v>
      </c>
      <c r="BV62">
        <f t="shared" si="123"/>
        <v>0</v>
      </c>
      <c r="BW62">
        <f t="shared" si="123"/>
        <v>0</v>
      </c>
      <c r="BX62">
        <f t="shared" si="123"/>
        <v>0</v>
      </c>
      <c r="BY62">
        <f t="shared" si="123"/>
        <v>0</v>
      </c>
      <c r="BZ62">
        <f t="shared" si="123"/>
        <v>0</v>
      </c>
      <c r="CA62">
        <f t="shared" si="123"/>
        <v>0</v>
      </c>
      <c r="CB62">
        <f t="shared" si="123"/>
        <v>0</v>
      </c>
      <c r="CC62">
        <f t="shared" si="123"/>
        <v>0</v>
      </c>
      <c r="CD62">
        <f t="shared" si="123"/>
        <v>0</v>
      </c>
      <c r="CE62">
        <f t="shared" si="123"/>
        <v>0</v>
      </c>
      <c r="CF62">
        <f t="shared" si="123"/>
        <v>0</v>
      </c>
      <c r="CG62">
        <f t="shared" si="123"/>
        <v>0</v>
      </c>
      <c r="CH62">
        <f t="shared" si="123"/>
        <v>0</v>
      </c>
      <c r="CI62">
        <f t="shared" si="123"/>
        <v>0</v>
      </c>
      <c r="CJ62">
        <f t="shared" si="123"/>
        <v>0</v>
      </c>
      <c r="CK62">
        <f t="shared" si="123"/>
        <v>0</v>
      </c>
      <c r="CL62">
        <f t="shared" si="123"/>
        <v>0</v>
      </c>
      <c r="CM62">
        <f t="shared" si="123"/>
        <v>0</v>
      </c>
      <c r="CN62">
        <f t="shared" si="123"/>
        <v>0</v>
      </c>
      <c r="CO62">
        <f t="shared" ref="CO62:DN62" si="124">CN63/CN$3</f>
        <v>0</v>
      </c>
      <c r="CP62">
        <f t="shared" si="124"/>
        <v>0</v>
      </c>
      <c r="CQ62">
        <f t="shared" si="124"/>
        <v>0</v>
      </c>
      <c r="CR62">
        <f t="shared" si="124"/>
        <v>0</v>
      </c>
      <c r="CS62">
        <f t="shared" si="124"/>
        <v>0</v>
      </c>
      <c r="CT62">
        <f t="shared" si="124"/>
        <v>0</v>
      </c>
      <c r="CU62">
        <f t="shared" si="124"/>
        <v>0</v>
      </c>
      <c r="CV62">
        <f t="shared" si="124"/>
        <v>0</v>
      </c>
      <c r="CW62">
        <f t="shared" si="124"/>
        <v>0</v>
      </c>
      <c r="CX62">
        <f t="shared" si="124"/>
        <v>0</v>
      </c>
      <c r="CY62">
        <f t="shared" si="124"/>
        <v>0</v>
      </c>
      <c r="CZ62">
        <f t="shared" si="124"/>
        <v>0</v>
      </c>
      <c r="DA62">
        <f t="shared" si="124"/>
        <v>0</v>
      </c>
      <c r="DB62">
        <f t="shared" si="124"/>
        <v>0</v>
      </c>
      <c r="DC62">
        <f t="shared" si="124"/>
        <v>0</v>
      </c>
      <c r="DD62">
        <f t="shared" si="124"/>
        <v>0</v>
      </c>
      <c r="DE62">
        <f t="shared" si="124"/>
        <v>0</v>
      </c>
      <c r="DF62">
        <f t="shared" si="124"/>
        <v>0</v>
      </c>
      <c r="DG62">
        <f t="shared" si="124"/>
        <v>0</v>
      </c>
      <c r="DH62">
        <f t="shared" si="124"/>
        <v>0</v>
      </c>
      <c r="DI62">
        <f t="shared" si="124"/>
        <v>0</v>
      </c>
      <c r="DJ62">
        <f t="shared" si="124"/>
        <v>0</v>
      </c>
      <c r="DK62">
        <f t="shared" si="124"/>
        <v>0</v>
      </c>
      <c r="DL62">
        <f t="shared" si="124"/>
        <v>0</v>
      </c>
      <c r="DM62">
        <f t="shared" si="124"/>
        <v>0</v>
      </c>
      <c r="DN62">
        <f t="shared" si="124"/>
        <v>0</v>
      </c>
    </row>
    <row r="63" spans="1:118" x14ac:dyDescent="0.2">
      <c r="A63">
        <v>59</v>
      </c>
      <c r="B63">
        <v>78</v>
      </c>
      <c r="C63">
        <f t="shared" si="2"/>
        <v>5.621229993381887E-2</v>
      </c>
      <c r="D63">
        <f t="shared" si="3"/>
        <v>3.1598226638496129E-3</v>
      </c>
      <c r="E63">
        <v>6.7369999999999999E-2</v>
      </c>
      <c r="F63">
        <f t="shared" si="0"/>
        <v>0.93262999999999996</v>
      </c>
      <c r="G63" s="34">
        <f t="shared" si="5"/>
        <v>0.43932105074250838</v>
      </c>
      <c r="H63" s="34"/>
      <c r="I63">
        <v>681.10475887422751</v>
      </c>
      <c r="J63">
        <v>78</v>
      </c>
      <c r="K63" s="38">
        <f t="shared" si="6"/>
        <v>681.10475887423024</v>
      </c>
      <c r="L63" s="22">
        <f t="shared" si="72"/>
        <v>493.83364588670173</v>
      </c>
      <c r="M63" s="23">
        <f t="shared" si="4"/>
        <v>439.52824054796787</v>
      </c>
      <c r="T63" s="60">
        <v>636.55999999999995</v>
      </c>
      <c r="U63">
        <v>6.7369999999999999E-2</v>
      </c>
      <c r="V63">
        <v>3.125E-2</v>
      </c>
      <c r="W63">
        <v>3.9210560847676823E-2</v>
      </c>
      <c r="Z63">
        <f t="shared" si="10"/>
        <v>5.6469999999999999E-2</v>
      </c>
      <c r="AA63">
        <f t="shared" si="11"/>
        <v>0.94352999999999998</v>
      </c>
      <c r="AB63" s="34">
        <f t="shared" si="15"/>
        <v>0.50202073942143421</v>
      </c>
      <c r="AC63">
        <f t="shared" ref="AC63:CN63" si="125">AB64/AB$3</f>
        <v>0.47154178825582366</v>
      </c>
      <c r="AD63">
        <f t="shared" si="125"/>
        <v>0.44024067309450898</v>
      </c>
      <c r="AE63">
        <f t="shared" si="125"/>
        <v>0.40830570545768036</v>
      </c>
      <c r="AF63">
        <f t="shared" si="125"/>
        <v>0.37594357354753732</v>
      </c>
      <c r="AG63">
        <f t="shared" si="125"/>
        <v>0.34340109205045072</v>
      </c>
      <c r="AH63">
        <f t="shared" si="125"/>
        <v>0.31094787004095703</v>
      </c>
      <c r="AI63">
        <f t="shared" si="125"/>
        <v>0.2788763991800447</v>
      </c>
      <c r="AJ63">
        <f t="shared" si="125"/>
        <v>0.24750011651222673</v>
      </c>
      <c r="AK63">
        <f t="shared" si="125"/>
        <v>0.21713915049671736</v>
      </c>
      <c r="AL63">
        <f t="shared" si="125"/>
        <v>0.18811303856499517</v>
      </c>
      <c r="AM63">
        <f t="shared" si="125"/>
        <v>0.16072702668100503</v>
      </c>
      <c r="AN63">
        <f t="shared" si="125"/>
        <v>0.13525900754926795</v>
      </c>
      <c r="AO63">
        <f t="shared" si="125"/>
        <v>0.11194806670097429</v>
      </c>
      <c r="AP63">
        <f t="shared" si="125"/>
        <v>9.097848163195256E-2</v>
      </c>
      <c r="AQ63">
        <f t="shared" si="125"/>
        <v>7.2471958111528401E-2</v>
      </c>
      <c r="AR63">
        <f t="shared" si="125"/>
        <v>5.6477135023476177E-2</v>
      </c>
      <c r="AS63">
        <f t="shared" si="125"/>
        <v>4.2965999520695998E-2</v>
      </c>
      <c r="AT63">
        <f t="shared" si="125"/>
        <v>3.1836060684024503E-2</v>
      </c>
      <c r="AU63">
        <f t="shared" si="125"/>
        <v>2.2916844749332019E-2</v>
      </c>
      <c r="AV63">
        <f t="shared" si="125"/>
        <v>1.5981362908961193E-2</v>
      </c>
      <c r="AW63">
        <f t="shared" si="125"/>
        <v>1.0763966037015777E-2</v>
      </c>
      <c r="AX63">
        <f t="shared" si="125"/>
        <v>6.9786239456851393E-3</v>
      </c>
      <c r="AY63">
        <f t="shared" si="125"/>
        <v>4.3392366789081543E-3</v>
      </c>
      <c r="AZ63">
        <f t="shared" si="125"/>
        <v>2.5771728802201164E-3</v>
      </c>
      <c r="BA63">
        <f t="shared" si="125"/>
        <v>1.4556270996973406E-3</v>
      </c>
      <c r="BB63">
        <f t="shared" si="125"/>
        <v>7.7807360603199521E-4</v>
      </c>
      <c r="BC63">
        <f t="shared" si="125"/>
        <v>3.9151006574143549E-4</v>
      </c>
      <c r="BD63">
        <f t="shared" si="125"/>
        <v>1.8436775173742202E-4</v>
      </c>
      <c r="BE63">
        <f t="shared" si="125"/>
        <v>8.0737791579070666E-5</v>
      </c>
      <c r="BF63">
        <f t="shared" si="125"/>
        <v>3.2648578880039867E-5</v>
      </c>
      <c r="BG63">
        <f t="shared" si="125"/>
        <v>1.209805097804149E-5</v>
      </c>
      <c r="BH63">
        <f t="shared" si="125"/>
        <v>4.0735551789526538E-6</v>
      </c>
      <c r="BI63">
        <f t="shared" si="125"/>
        <v>1.235279569638393E-6</v>
      </c>
      <c r="BJ63">
        <f t="shared" si="125"/>
        <v>3.3374530038405329E-7</v>
      </c>
      <c r="BK63">
        <f t="shared" si="125"/>
        <v>0</v>
      </c>
      <c r="BL63">
        <f t="shared" si="125"/>
        <v>0</v>
      </c>
      <c r="BM63">
        <f t="shared" si="125"/>
        <v>0</v>
      </c>
      <c r="BN63">
        <f t="shared" si="125"/>
        <v>0</v>
      </c>
      <c r="BO63">
        <f t="shared" si="125"/>
        <v>0</v>
      </c>
      <c r="BP63">
        <f t="shared" si="125"/>
        <v>0</v>
      </c>
      <c r="BQ63">
        <f t="shared" si="125"/>
        <v>0</v>
      </c>
      <c r="BR63">
        <f t="shared" si="125"/>
        <v>0</v>
      </c>
      <c r="BS63">
        <f t="shared" si="125"/>
        <v>0</v>
      </c>
      <c r="BT63">
        <f t="shared" si="125"/>
        <v>0</v>
      </c>
      <c r="BU63">
        <f t="shared" si="125"/>
        <v>0</v>
      </c>
      <c r="BV63">
        <f t="shared" si="125"/>
        <v>0</v>
      </c>
      <c r="BW63">
        <f t="shared" si="125"/>
        <v>0</v>
      </c>
      <c r="BX63">
        <f t="shared" si="125"/>
        <v>0</v>
      </c>
      <c r="BY63">
        <f t="shared" si="125"/>
        <v>0</v>
      </c>
      <c r="BZ63">
        <f t="shared" si="125"/>
        <v>0</v>
      </c>
      <c r="CA63">
        <f t="shared" si="125"/>
        <v>0</v>
      </c>
      <c r="CB63">
        <f t="shared" si="125"/>
        <v>0</v>
      </c>
      <c r="CC63">
        <f t="shared" si="125"/>
        <v>0</v>
      </c>
      <c r="CD63">
        <f t="shared" si="125"/>
        <v>0</v>
      </c>
      <c r="CE63">
        <f t="shared" si="125"/>
        <v>0</v>
      </c>
      <c r="CF63">
        <f t="shared" si="125"/>
        <v>0</v>
      </c>
      <c r="CG63">
        <f t="shared" si="125"/>
        <v>0</v>
      </c>
      <c r="CH63">
        <f t="shared" si="125"/>
        <v>0</v>
      </c>
      <c r="CI63">
        <f t="shared" si="125"/>
        <v>0</v>
      </c>
      <c r="CJ63">
        <f t="shared" si="125"/>
        <v>0</v>
      </c>
      <c r="CK63">
        <f t="shared" si="125"/>
        <v>0</v>
      </c>
      <c r="CL63">
        <f t="shared" si="125"/>
        <v>0</v>
      </c>
      <c r="CM63">
        <f t="shared" si="125"/>
        <v>0</v>
      </c>
      <c r="CN63">
        <f t="shared" si="125"/>
        <v>0</v>
      </c>
      <c r="CO63">
        <f t="shared" ref="CO63:DN63" si="126">CN64/CN$3</f>
        <v>0</v>
      </c>
      <c r="CP63">
        <f t="shared" si="126"/>
        <v>0</v>
      </c>
      <c r="CQ63">
        <f t="shared" si="126"/>
        <v>0</v>
      </c>
      <c r="CR63">
        <f t="shared" si="126"/>
        <v>0</v>
      </c>
      <c r="CS63">
        <f t="shared" si="126"/>
        <v>0</v>
      </c>
      <c r="CT63">
        <f t="shared" si="126"/>
        <v>0</v>
      </c>
      <c r="CU63">
        <f t="shared" si="126"/>
        <v>0</v>
      </c>
      <c r="CV63">
        <f t="shared" si="126"/>
        <v>0</v>
      </c>
      <c r="CW63">
        <f t="shared" si="126"/>
        <v>0</v>
      </c>
      <c r="CX63">
        <f t="shared" si="126"/>
        <v>0</v>
      </c>
      <c r="CY63">
        <f t="shared" si="126"/>
        <v>0</v>
      </c>
      <c r="CZ63">
        <f t="shared" si="126"/>
        <v>0</v>
      </c>
      <c r="DA63">
        <f t="shared" si="126"/>
        <v>0</v>
      </c>
      <c r="DB63">
        <f t="shared" si="126"/>
        <v>0</v>
      </c>
      <c r="DC63">
        <f t="shared" si="126"/>
        <v>0</v>
      </c>
      <c r="DD63">
        <f t="shared" si="126"/>
        <v>0</v>
      </c>
      <c r="DE63">
        <f t="shared" si="126"/>
        <v>0</v>
      </c>
      <c r="DF63">
        <f t="shared" si="126"/>
        <v>0</v>
      </c>
      <c r="DG63">
        <f t="shared" si="126"/>
        <v>0</v>
      </c>
      <c r="DH63">
        <f t="shared" si="126"/>
        <v>0</v>
      </c>
      <c r="DI63">
        <f t="shared" si="126"/>
        <v>0</v>
      </c>
      <c r="DJ63">
        <f t="shared" si="126"/>
        <v>0</v>
      </c>
      <c r="DK63">
        <f t="shared" si="126"/>
        <v>0</v>
      </c>
      <c r="DL63">
        <f t="shared" si="126"/>
        <v>0</v>
      </c>
      <c r="DM63">
        <f t="shared" si="126"/>
        <v>0</v>
      </c>
      <c r="DN63">
        <f t="shared" si="126"/>
        <v>0</v>
      </c>
    </row>
    <row r="64" spans="1:118" x14ac:dyDescent="0.2">
      <c r="A64">
        <v>60</v>
      </c>
      <c r="B64">
        <v>79</v>
      </c>
      <c r="C64">
        <f t="shared" si="2"/>
        <v>5.353552374649416E-2</v>
      </c>
      <c r="D64">
        <f t="shared" si="3"/>
        <v>2.86605230281144E-3</v>
      </c>
      <c r="E64">
        <v>7.356E-2</v>
      </c>
      <c r="F64">
        <f t="shared" si="0"/>
        <v>0.92644000000000004</v>
      </c>
      <c r="G64" s="34">
        <f t="shared" si="5"/>
        <v>0.4070045942498895</v>
      </c>
      <c r="H64" s="34"/>
      <c r="I64">
        <v>694.58412963119258</v>
      </c>
      <c r="J64">
        <v>79</v>
      </c>
      <c r="K64" s="38">
        <f t="shared" si="6"/>
        <v>694.58412963119542</v>
      </c>
      <c r="L64" s="22">
        <f t="shared" si="72"/>
        <v>502.99388715461868</v>
      </c>
      <c r="M64" s="23">
        <f t="shared" si="4"/>
        <v>439.52824054796787</v>
      </c>
      <c r="T64" s="60">
        <v>651.26</v>
      </c>
      <c r="U64">
        <v>7.356E-2</v>
      </c>
      <c r="V64">
        <v>3.2258064516129031E-2</v>
      </c>
      <c r="W64">
        <v>3.9210560847676823E-2</v>
      </c>
      <c r="Z64">
        <f t="shared" si="10"/>
        <v>6.1679999999999999E-2</v>
      </c>
      <c r="AA64">
        <f t="shared" si="11"/>
        <v>0.93832000000000004</v>
      </c>
      <c r="AB64" s="34">
        <f t="shared" si="15"/>
        <v>0.47105610021392019</v>
      </c>
      <c r="AC64">
        <f t="shared" ref="AC64:CN64" si="127">AB65/AB$3</f>
        <v>0.43977401798102883</v>
      </c>
      <c r="AD64">
        <f t="shared" si="127"/>
        <v>0.4078565691816769</v>
      </c>
      <c r="AE64">
        <f t="shared" si="127"/>
        <v>0.37551875730942863</v>
      </c>
      <c r="AF64">
        <f t="shared" si="127"/>
        <v>0.34299587876183119</v>
      </c>
      <c r="AG64">
        <f t="shared" si="127"/>
        <v>0.31056851363950705</v>
      </c>
      <c r="AH64">
        <f t="shared" si="127"/>
        <v>0.27852222615308603</v>
      </c>
      <c r="AI64">
        <f t="shared" si="127"/>
        <v>0.24717094135726544</v>
      </c>
      <c r="AJ64">
        <f t="shared" si="127"/>
        <v>0.21683732707752693</v>
      </c>
      <c r="AK64">
        <f t="shared" si="127"/>
        <v>0.18783839352869028</v>
      </c>
      <c r="AL64">
        <f t="shared" si="127"/>
        <v>0.16048111433018308</v>
      </c>
      <c r="AM64">
        <f t="shared" si="127"/>
        <v>0.13504124054711364</v>
      </c>
      <c r="AN64">
        <f t="shared" si="127"/>
        <v>0.11175775498758263</v>
      </c>
      <c r="AO64">
        <f t="shared" si="127"/>
        <v>9.0815630149831364E-2</v>
      </c>
      <c r="AP64">
        <f t="shared" si="127"/>
        <v>7.2334261391116497E-2</v>
      </c>
      <c r="AQ64">
        <f t="shared" si="127"/>
        <v>5.6363615982078993E-2</v>
      </c>
      <c r="AR64">
        <f t="shared" si="127"/>
        <v>4.2874052281721704E-2</v>
      </c>
      <c r="AS64">
        <f t="shared" si="127"/>
        <v>3.176347446566493E-2</v>
      </c>
      <c r="AT64">
        <f t="shared" si="127"/>
        <v>2.2861156816591142E-2</v>
      </c>
      <c r="AU64">
        <f t="shared" si="127"/>
        <v>1.5939811365397894E-2</v>
      </c>
      <c r="AV64">
        <f t="shared" si="127"/>
        <v>1.0734042211432874E-2</v>
      </c>
      <c r="AW64">
        <f t="shared" si="127"/>
        <v>6.9578276463269978E-3</v>
      </c>
      <c r="AX64">
        <f t="shared" si="127"/>
        <v>4.3253511215356486E-3</v>
      </c>
      <c r="AY64">
        <f t="shared" si="127"/>
        <v>2.5683074055121592E-3</v>
      </c>
      <c r="AZ64">
        <f t="shared" si="127"/>
        <v>1.4502267231574634E-3</v>
      </c>
      <c r="BA64">
        <f t="shared" si="127"/>
        <v>7.7496131160786723E-4</v>
      </c>
      <c r="BB64">
        <f t="shared" si="127"/>
        <v>3.898226573580899E-4</v>
      </c>
      <c r="BC64">
        <f t="shared" si="127"/>
        <v>1.8350859801432562E-4</v>
      </c>
      <c r="BD64">
        <f t="shared" si="127"/>
        <v>8.0330873109512151E-5</v>
      </c>
      <c r="BE64">
        <f t="shared" si="127"/>
        <v>3.2470317639354847E-5</v>
      </c>
      <c r="BF64">
        <f t="shared" si="127"/>
        <v>1.2026430516251485E-5</v>
      </c>
      <c r="BG64">
        <f t="shared" si="127"/>
        <v>4.0474029547037776E-6</v>
      </c>
      <c r="BH64">
        <f t="shared" si="127"/>
        <v>1.2266696710380134E-6</v>
      </c>
      <c r="BI64">
        <f t="shared" si="127"/>
        <v>3.3121551100714217E-7</v>
      </c>
      <c r="BJ64">
        <f t="shared" si="127"/>
        <v>0</v>
      </c>
      <c r="BK64">
        <f t="shared" si="127"/>
        <v>0</v>
      </c>
      <c r="BL64">
        <f t="shared" si="127"/>
        <v>0</v>
      </c>
      <c r="BM64">
        <f t="shared" si="127"/>
        <v>0</v>
      </c>
      <c r="BN64">
        <f t="shared" si="127"/>
        <v>0</v>
      </c>
      <c r="BO64">
        <f t="shared" si="127"/>
        <v>0</v>
      </c>
      <c r="BP64">
        <f t="shared" si="127"/>
        <v>0</v>
      </c>
      <c r="BQ64">
        <f t="shared" si="127"/>
        <v>0</v>
      </c>
      <c r="BR64">
        <f t="shared" si="127"/>
        <v>0</v>
      </c>
      <c r="BS64">
        <f t="shared" si="127"/>
        <v>0</v>
      </c>
      <c r="BT64">
        <f t="shared" si="127"/>
        <v>0</v>
      </c>
      <c r="BU64">
        <f t="shared" si="127"/>
        <v>0</v>
      </c>
      <c r="BV64">
        <f t="shared" si="127"/>
        <v>0</v>
      </c>
      <c r="BW64">
        <f t="shared" si="127"/>
        <v>0</v>
      </c>
      <c r="BX64">
        <f t="shared" si="127"/>
        <v>0</v>
      </c>
      <c r="BY64">
        <f t="shared" si="127"/>
        <v>0</v>
      </c>
      <c r="BZ64">
        <f t="shared" si="127"/>
        <v>0</v>
      </c>
      <c r="CA64">
        <f t="shared" si="127"/>
        <v>0</v>
      </c>
      <c r="CB64">
        <f t="shared" si="127"/>
        <v>0</v>
      </c>
      <c r="CC64">
        <f t="shared" si="127"/>
        <v>0</v>
      </c>
      <c r="CD64">
        <f t="shared" si="127"/>
        <v>0</v>
      </c>
      <c r="CE64">
        <f t="shared" si="127"/>
        <v>0</v>
      </c>
      <c r="CF64">
        <f t="shared" si="127"/>
        <v>0</v>
      </c>
      <c r="CG64">
        <f t="shared" si="127"/>
        <v>0</v>
      </c>
      <c r="CH64">
        <f t="shared" si="127"/>
        <v>0</v>
      </c>
      <c r="CI64">
        <f t="shared" si="127"/>
        <v>0</v>
      </c>
      <c r="CJ64">
        <f t="shared" si="127"/>
        <v>0</v>
      </c>
      <c r="CK64">
        <f t="shared" si="127"/>
        <v>0</v>
      </c>
      <c r="CL64">
        <f t="shared" si="127"/>
        <v>0</v>
      </c>
      <c r="CM64">
        <f t="shared" si="127"/>
        <v>0</v>
      </c>
      <c r="CN64">
        <f t="shared" si="127"/>
        <v>0</v>
      </c>
      <c r="CO64">
        <f t="shared" ref="CO64:DN64" si="128">CN65/CN$3</f>
        <v>0</v>
      </c>
      <c r="CP64">
        <f t="shared" si="128"/>
        <v>0</v>
      </c>
      <c r="CQ64">
        <f t="shared" si="128"/>
        <v>0</v>
      </c>
      <c r="CR64">
        <f t="shared" si="128"/>
        <v>0</v>
      </c>
      <c r="CS64">
        <f t="shared" si="128"/>
        <v>0</v>
      </c>
      <c r="CT64">
        <f t="shared" si="128"/>
        <v>0</v>
      </c>
      <c r="CU64">
        <f t="shared" si="128"/>
        <v>0</v>
      </c>
      <c r="CV64">
        <f t="shared" si="128"/>
        <v>0</v>
      </c>
      <c r="CW64">
        <f t="shared" si="128"/>
        <v>0</v>
      </c>
      <c r="CX64">
        <f t="shared" si="128"/>
        <v>0</v>
      </c>
      <c r="CY64">
        <f t="shared" si="128"/>
        <v>0</v>
      </c>
      <c r="CZ64">
        <f t="shared" si="128"/>
        <v>0</v>
      </c>
      <c r="DA64">
        <f t="shared" si="128"/>
        <v>0</v>
      </c>
      <c r="DB64">
        <f t="shared" si="128"/>
        <v>0</v>
      </c>
      <c r="DC64">
        <f t="shared" si="128"/>
        <v>0</v>
      </c>
      <c r="DD64">
        <f t="shared" si="128"/>
        <v>0</v>
      </c>
      <c r="DE64">
        <f t="shared" si="128"/>
        <v>0</v>
      </c>
      <c r="DF64">
        <f t="shared" si="128"/>
        <v>0</v>
      </c>
      <c r="DG64">
        <f t="shared" si="128"/>
        <v>0</v>
      </c>
      <c r="DH64">
        <f t="shared" si="128"/>
        <v>0</v>
      </c>
      <c r="DI64">
        <f t="shared" si="128"/>
        <v>0</v>
      </c>
      <c r="DJ64">
        <f t="shared" si="128"/>
        <v>0</v>
      </c>
      <c r="DK64">
        <f t="shared" si="128"/>
        <v>0</v>
      </c>
      <c r="DL64">
        <f t="shared" si="128"/>
        <v>0</v>
      </c>
      <c r="DM64">
        <f t="shared" si="128"/>
        <v>0</v>
      </c>
      <c r="DN64">
        <f t="shared" si="128"/>
        <v>0</v>
      </c>
    </row>
    <row r="65" spans="1:118" x14ac:dyDescent="0.2">
      <c r="A65">
        <v>61</v>
      </c>
      <c r="B65">
        <v>80</v>
      </c>
      <c r="C65">
        <f t="shared" si="2"/>
        <v>5.0986213091899199E-2</v>
      </c>
      <c r="D65">
        <f t="shared" si="3"/>
        <v>2.5995939254525534E-3</v>
      </c>
      <c r="E65">
        <v>8.0299999999999996E-2</v>
      </c>
      <c r="F65">
        <f t="shared" si="0"/>
        <v>0.91969999999999996</v>
      </c>
      <c r="G65" s="34">
        <f t="shared" si="5"/>
        <v>0.37432212533162335</v>
      </c>
      <c r="H65" s="34"/>
      <c r="I65">
        <v>707.82062099299719</v>
      </c>
      <c r="J65">
        <v>80</v>
      </c>
      <c r="K65" s="38">
        <f t="shared" si="6"/>
        <v>707.82062099300038</v>
      </c>
      <c r="L65" s="22">
        <f t="shared" si="72"/>
        <v>512.41503422942787</v>
      </c>
      <c r="M65" s="23">
        <f t="shared" si="4"/>
        <v>439.52824054796787</v>
      </c>
      <c r="T65" s="58">
        <v>665.75</v>
      </c>
      <c r="U65">
        <v>8.0299999999999996E-2</v>
      </c>
      <c r="V65">
        <v>3.3333333333333333E-2</v>
      </c>
      <c r="W65">
        <v>3.9210560847676823E-2</v>
      </c>
      <c r="Z65">
        <f t="shared" si="10"/>
        <v>6.7369999999999999E-2</v>
      </c>
      <c r="AA65">
        <f t="shared" si="11"/>
        <v>0.93262999999999996</v>
      </c>
      <c r="AB65" s="34">
        <f t="shared" si="15"/>
        <v>0.43932105074250838</v>
      </c>
      <c r="AC65">
        <f t="shared" ref="AC65:CN65" si="129">AB66/AB$3</f>
        <v>0.40742424121834436</v>
      </c>
      <c r="AD65">
        <f t="shared" si="129"/>
        <v>0.37510568667638827</v>
      </c>
      <c r="AE65">
        <f t="shared" si="129"/>
        <v>0.34260829341883031</v>
      </c>
      <c r="AF65">
        <f t="shared" si="129"/>
        <v>0.31020204279341246</v>
      </c>
      <c r="AG65">
        <f t="shared" si="129"/>
        <v>0.27818242903717927</v>
      </c>
      <c r="AH65">
        <f t="shared" si="129"/>
        <v>0.24685703426174171</v>
      </c>
      <c r="AI65">
        <f t="shared" si="129"/>
        <v>0.2165489334325138</v>
      </c>
      <c r="AJ65">
        <f t="shared" si="129"/>
        <v>0.18757729816168539</v>
      </c>
      <c r="AK65">
        <f t="shared" si="129"/>
        <v>0.16024681190326101</v>
      </c>
      <c r="AL65">
        <f t="shared" si="129"/>
        <v>0.13483462744907654</v>
      </c>
      <c r="AM65">
        <f t="shared" si="129"/>
        <v>0.11157782500205261</v>
      </c>
      <c r="AN65">
        <f t="shared" si="129"/>
        <v>9.0661243578576647E-2</v>
      </c>
      <c r="AO65">
        <f t="shared" si="129"/>
        <v>7.2204783063226405E-2</v>
      </c>
      <c r="AP65">
        <f t="shared" si="129"/>
        <v>5.6256525111713043E-2</v>
      </c>
      <c r="AQ65">
        <f t="shared" si="129"/>
        <v>4.2787875436635446E-2</v>
      </c>
      <c r="AR65">
        <f t="shared" si="129"/>
        <v>3.1695500630308404E-2</v>
      </c>
      <c r="AS65">
        <f t="shared" si="129"/>
        <v>2.2809033379049316E-2</v>
      </c>
      <c r="AT65">
        <f t="shared" si="129"/>
        <v>1.5901077623779975E-2</v>
      </c>
      <c r="AU65">
        <f t="shared" si="129"/>
        <v>1.0706133701683149E-2</v>
      </c>
      <c r="AV65">
        <f t="shared" si="129"/>
        <v>6.9384848854702084E-3</v>
      </c>
      <c r="AW65">
        <f t="shared" si="129"/>
        <v>4.3124615751934728E-3</v>
      </c>
      <c r="AX65">
        <f t="shared" si="129"/>
        <v>2.5600888218145204E-3</v>
      </c>
      <c r="AY65">
        <f t="shared" si="129"/>
        <v>1.4452379432298016E-3</v>
      </c>
      <c r="AZ65">
        <f t="shared" si="129"/>
        <v>7.7208620514180204E-4</v>
      </c>
      <c r="BA65">
        <f t="shared" si="129"/>
        <v>3.8826336672865755E-4</v>
      </c>
      <c r="BB65">
        <f t="shared" si="129"/>
        <v>1.8271767595688386E-4</v>
      </c>
      <c r="BC65">
        <f t="shared" si="129"/>
        <v>7.9956531240821818E-5</v>
      </c>
      <c r="BD65">
        <f t="shared" si="129"/>
        <v>3.2306667238452497E-5</v>
      </c>
      <c r="BE65">
        <f t="shared" si="129"/>
        <v>1.1960766205632751E-5</v>
      </c>
      <c r="BF65">
        <f t="shared" si="129"/>
        <v>4.023442329211931E-6</v>
      </c>
      <c r="BG65">
        <f t="shared" si="129"/>
        <v>1.2187944517499494E-6</v>
      </c>
      <c r="BH65">
        <f t="shared" si="129"/>
        <v>3.2890693889542236E-7</v>
      </c>
      <c r="BI65">
        <f t="shared" si="129"/>
        <v>0</v>
      </c>
      <c r="BJ65">
        <f t="shared" si="129"/>
        <v>0</v>
      </c>
      <c r="BK65">
        <f t="shared" si="129"/>
        <v>0</v>
      </c>
      <c r="BL65">
        <f t="shared" si="129"/>
        <v>0</v>
      </c>
      <c r="BM65">
        <f t="shared" si="129"/>
        <v>0</v>
      </c>
      <c r="BN65">
        <f t="shared" si="129"/>
        <v>0</v>
      </c>
      <c r="BO65">
        <f t="shared" si="129"/>
        <v>0</v>
      </c>
      <c r="BP65">
        <f t="shared" si="129"/>
        <v>0</v>
      </c>
      <c r="BQ65">
        <f t="shared" si="129"/>
        <v>0</v>
      </c>
      <c r="BR65">
        <f t="shared" si="129"/>
        <v>0</v>
      </c>
      <c r="BS65">
        <f t="shared" si="129"/>
        <v>0</v>
      </c>
      <c r="BT65">
        <f t="shared" si="129"/>
        <v>0</v>
      </c>
      <c r="BU65">
        <f t="shared" si="129"/>
        <v>0</v>
      </c>
      <c r="BV65">
        <f t="shared" si="129"/>
        <v>0</v>
      </c>
      <c r="BW65">
        <f t="shared" si="129"/>
        <v>0</v>
      </c>
      <c r="BX65">
        <f t="shared" si="129"/>
        <v>0</v>
      </c>
      <c r="BY65">
        <f t="shared" si="129"/>
        <v>0</v>
      </c>
      <c r="BZ65">
        <f t="shared" si="129"/>
        <v>0</v>
      </c>
      <c r="CA65">
        <f t="shared" si="129"/>
        <v>0</v>
      </c>
      <c r="CB65">
        <f t="shared" si="129"/>
        <v>0</v>
      </c>
      <c r="CC65">
        <f t="shared" si="129"/>
        <v>0</v>
      </c>
      <c r="CD65">
        <f t="shared" si="129"/>
        <v>0</v>
      </c>
      <c r="CE65">
        <f t="shared" si="129"/>
        <v>0</v>
      </c>
      <c r="CF65">
        <f t="shared" si="129"/>
        <v>0</v>
      </c>
      <c r="CG65">
        <f t="shared" si="129"/>
        <v>0</v>
      </c>
      <c r="CH65">
        <f t="shared" si="129"/>
        <v>0</v>
      </c>
      <c r="CI65">
        <f t="shared" si="129"/>
        <v>0</v>
      </c>
      <c r="CJ65">
        <f t="shared" si="129"/>
        <v>0</v>
      </c>
      <c r="CK65">
        <f t="shared" si="129"/>
        <v>0</v>
      </c>
      <c r="CL65">
        <f t="shared" si="129"/>
        <v>0</v>
      </c>
      <c r="CM65">
        <f t="shared" si="129"/>
        <v>0</v>
      </c>
      <c r="CN65">
        <f t="shared" si="129"/>
        <v>0</v>
      </c>
      <c r="CO65">
        <f t="shared" ref="CO65:DN65" si="130">CN66/CN$3</f>
        <v>0</v>
      </c>
      <c r="CP65">
        <f t="shared" si="130"/>
        <v>0</v>
      </c>
      <c r="CQ65">
        <f t="shared" si="130"/>
        <v>0</v>
      </c>
      <c r="CR65">
        <f t="shared" si="130"/>
        <v>0</v>
      </c>
      <c r="CS65">
        <f t="shared" si="130"/>
        <v>0</v>
      </c>
      <c r="CT65">
        <f t="shared" si="130"/>
        <v>0</v>
      </c>
      <c r="CU65">
        <f t="shared" si="130"/>
        <v>0</v>
      </c>
      <c r="CV65">
        <f t="shared" si="130"/>
        <v>0</v>
      </c>
      <c r="CW65">
        <f t="shared" si="130"/>
        <v>0</v>
      </c>
      <c r="CX65">
        <f t="shared" si="130"/>
        <v>0</v>
      </c>
      <c r="CY65">
        <f t="shared" si="130"/>
        <v>0</v>
      </c>
      <c r="CZ65">
        <f t="shared" si="130"/>
        <v>0</v>
      </c>
      <c r="DA65">
        <f t="shared" si="130"/>
        <v>0</v>
      </c>
      <c r="DB65">
        <f t="shared" si="130"/>
        <v>0</v>
      </c>
      <c r="DC65">
        <f t="shared" si="130"/>
        <v>0</v>
      </c>
      <c r="DD65">
        <f t="shared" si="130"/>
        <v>0</v>
      </c>
      <c r="DE65">
        <f t="shared" si="130"/>
        <v>0</v>
      </c>
      <c r="DF65">
        <f t="shared" si="130"/>
        <v>0</v>
      </c>
      <c r="DG65">
        <f t="shared" si="130"/>
        <v>0</v>
      </c>
      <c r="DH65">
        <f t="shared" si="130"/>
        <v>0</v>
      </c>
      <c r="DI65">
        <f t="shared" si="130"/>
        <v>0</v>
      </c>
      <c r="DJ65">
        <f t="shared" si="130"/>
        <v>0</v>
      </c>
      <c r="DK65">
        <f t="shared" si="130"/>
        <v>0</v>
      </c>
      <c r="DL65">
        <f t="shared" si="130"/>
        <v>0</v>
      </c>
      <c r="DM65">
        <f t="shared" si="130"/>
        <v>0</v>
      </c>
      <c r="DN65">
        <f t="shared" si="130"/>
        <v>0</v>
      </c>
    </row>
    <row r="66" spans="1:118" x14ac:dyDescent="0.2">
      <c r="A66">
        <v>62</v>
      </c>
      <c r="B66">
        <v>81</v>
      </c>
      <c r="C66">
        <f t="shared" si="2"/>
        <v>4.8558298182761132E-2</v>
      </c>
      <c r="D66">
        <f t="shared" si="3"/>
        <v>2.3579083224059432E-3</v>
      </c>
      <c r="E66">
        <v>8.7639999999999996E-2</v>
      </c>
      <c r="F66">
        <f t="shared" si="0"/>
        <v>0.91236000000000006</v>
      </c>
      <c r="G66" s="34">
        <f t="shared" si="5"/>
        <v>0.3415165342675599</v>
      </c>
      <c r="H66" s="34"/>
      <c r="I66">
        <v>720.79118412813614</v>
      </c>
      <c r="J66">
        <v>81</v>
      </c>
      <c r="K66" s="38">
        <f t="shared" si="6"/>
        <v>720.79118412814</v>
      </c>
      <c r="L66" s="22">
        <f t="shared" si="72"/>
        <v>522.10598545610276</v>
      </c>
      <c r="M66" s="23">
        <f t="shared" si="4"/>
        <v>439.52824054796787</v>
      </c>
      <c r="T66" s="59">
        <v>680</v>
      </c>
      <c r="U66">
        <v>8.7639999999999996E-2</v>
      </c>
      <c r="V66">
        <v>3.4482758620689655E-2</v>
      </c>
      <c r="W66">
        <v>3.9210560847676823E-2</v>
      </c>
      <c r="Z66">
        <f t="shared" si="10"/>
        <v>7.356E-2</v>
      </c>
      <c r="AA66">
        <f t="shared" si="11"/>
        <v>0.92644000000000004</v>
      </c>
      <c r="AB66" s="34">
        <f t="shared" si="15"/>
        <v>0.4070045942498895</v>
      </c>
      <c r="AC66">
        <f t="shared" ref="AC66:CN66" si="131">AB67/AB$3</f>
        <v>0.3747080746485113</v>
      </c>
      <c r="AD66">
        <f t="shared" si="131"/>
        <v>0.34223142429606962</v>
      </c>
      <c r="AE66">
        <f t="shared" si="131"/>
        <v>0.30985151448505593</v>
      </c>
      <c r="AF66">
        <f t="shared" si="131"/>
        <v>0.27785417377091542</v>
      </c>
      <c r="AG66">
        <f t="shared" si="131"/>
        <v>0.24655586867994239</v>
      </c>
      <c r="AH66">
        <f t="shared" si="131"/>
        <v>0.2162739162870545</v>
      </c>
      <c r="AI66">
        <f t="shared" si="131"/>
        <v>0.18732782035513035</v>
      </c>
      <c r="AJ66">
        <f t="shared" si="131"/>
        <v>0.16002406883471548</v>
      </c>
      <c r="AK66">
        <f t="shared" si="131"/>
        <v>0.13463776889300089</v>
      </c>
      <c r="AL66">
        <f t="shared" si="131"/>
        <v>0.11140711092979946</v>
      </c>
      <c r="AM66">
        <f t="shared" si="131"/>
        <v>9.0515278976415134E-2</v>
      </c>
      <c r="AN66">
        <f t="shared" si="131"/>
        <v>7.2082034932018924E-2</v>
      </c>
      <c r="AO66">
        <f t="shared" si="131"/>
        <v>5.6155825931763076E-2</v>
      </c>
      <c r="AP66">
        <f t="shared" si="131"/>
        <v>4.2706578473305841E-2</v>
      </c>
      <c r="AQ66">
        <f t="shared" si="131"/>
        <v>3.1631792674041488E-2</v>
      </c>
      <c r="AR66">
        <f t="shared" si="131"/>
        <v>2.2760222047618149E-2</v>
      </c>
      <c r="AS66">
        <f t="shared" si="131"/>
        <v>1.5864823166797756E-2</v>
      </c>
      <c r="AT66">
        <f t="shared" si="131"/>
        <v>1.0680117796788059E-2</v>
      </c>
      <c r="AU66">
        <f t="shared" si="131"/>
        <v>6.9204448247679852E-3</v>
      </c>
      <c r="AV66">
        <f t="shared" si="131"/>
        <v>4.3004729320144349E-3</v>
      </c>
      <c r="AW66">
        <f t="shared" si="131"/>
        <v>2.5524597571255133E-3</v>
      </c>
      <c r="AX66">
        <f t="shared" si="131"/>
        <v>1.4406131818114664E-3</v>
      </c>
      <c r="AY66">
        <f t="shared" si="131"/>
        <v>7.6943022859611424E-4</v>
      </c>
      <c r="AZ66">
        <f t="shared" si="131"/>
        <v>3.8682290963809422E-4</v>
      </c>
      <c r="BA66">
        <f t="shared" si="131"/>
        <v>1.8198680525305632E-4</v>
      </c>
      <c r="BB66">
        <f t="shared" si="131"/>
        <v>7.9611918591173877E-5</v>
      </c>
      <c r="BC66">
        <f t="shared" si="131"/>
        <v>3.2156118169121307E-5</v>
      </c>
      <c r="BD66">
        <f t="shared" si="131"/>
        <v>1.1900483943956362E-5</v>
      </c>
      <c r="BE66">
        <f t="shared" si="131"/>
        <v>4.001474334094434E-6</v>
      </c>
      <c r="BF66">
        <f t="shared" si="131"/>
        <v>1.2115791885955896E-6</v>
      </c>
      <c r="BG66">
        <f t="shared" si="131"/>
        <v>3.2679535634771378E-7</v>
      </c>
      <c r="BH66">
        <f t="shared" si="131"/>
        <v>0</v>
      </c>
      <c r="BI66">
        <f t="shared" si="131"/>
        <v>0</v>
      </c>
      <c r="BJ66">
        <f t="shared" si="131"/>
        <v>0</v>
      </c>
      <c r="BK66">
        <f t="shared" si="131"/>
        <v>0</v>
      </c>
      <c r="BL66">
        <f t="shared" si="131"/>
        <v>0</v>
      </c>
      <c r="BM66">
        <f t="shared" si="131"/>
        <v>0</v>
      </c>
      <c r="BN66">
        <f t="shared" si="131"/>
        <v>0</v>
      </c>
      <c r="BO66">
        <f t="shared" si="131"/>
        <v>0</v>
      </c>
      <c r="BP66">
        <f t="shared" si="131"/>
        <v>0</v>
      </c>
      <c r="BQ66">
        <f t="shared" si="131"/>
        <v>0</v>
      </c>
      <c r="BR66">
        <f t="shared" si="131"/>
        <v>0</v>
      </c>
      <c r="BS66">
        <f t="shared" si="131"/>
        <v>0</v>
      </c>
      <c r="BT66">
        <f t="shared" si="131"/>
        <v>0</v>
      </c>
      <c r="BU66">
        <f t="shared" si="131"/>
        <v>0</v>
      </c>
      <c r="BV66">
        <f t="shared" si="131"/>
        <v>0</v>
      </c>
      <c r="BW66">
        <f t="shared" si="131"/>
        <v>0</v>
      </c>
      <c r="BX66">
        <f t="shared" si="131"/>
        <v>0</v>
      </c>
      <c r="BY66">
        <f t="shared" si="131"/>
        <v>0</v>
      </c>
      <c r="BZ66">
        <f t="shared" si="131"/>
        <v>0</v>
      </c>
      <c r="CA66">
        <f t="shared" si="131"/>
        <v>0</v>
      </c>
      <c r="CB66">
        <f t="shared" si="131"/>
        <v>0</v>
      </c>
      <c r="CC66">
        <f t="shared" si="131"/>
        <v>0</v>
      </c>
      <c r="CD66">
        <f t="shared" si="131"/>
        <v>0</v>
      </c>
      <c r="CE66">
        <f t="shared" si="131"/>
        <v>0</v>
      </c>
      <c r="CF66">
        <f t="shared" si="131"/>
        <v>0</v>
      </c>
      <c r="CG66">
        <f t="shared" si="131"/>
        <v>0</v>
      </c>
      <c r="CH66">
        <f t="shared" si="131"/>
        <v>0</v>
      </c>
      <c r="CI66">
        <f t="shared" si="131"/>
        <v>0</v>
      </c>
      <c r="CJ66">
        <f t="shared" si="131"/>
        <v>0</v>
      </c>
      <c r="CK66">
        <f t="shared" si="131"/>
        <v>0</v>
      </c>
      <c r="CL66">
        <f t="shared" si="131"/>
        <v>0</v>
      </c>
      <c r="CM66">
        <f t="shared" si="131"/>
        <v>0</v>
      </c>
      <c r="CN66">
        <f t="shared" si="131"/>
        <v>0</v>
      </c>
      <c r="CO66">
        <f t="shared" ref="CO66:DN66" si="132">CN67/CN$3</f>
        <v>0</v>
      </c>
      <c r="CP66">
        <f t="shared" si="132"/>
        <v>0</v>
      </c>
      <c r="CQ66">
        <f t="shared" si="132"/>
        <v>0</v>
      </c>
      <c r="CR66">
        <f t="shared" si="132"/>
        <v>0</v>
      </c>
      <c r="CS66">
        <f t="shared" si="132"/>
        <v>0</v>
      </c>
      <c r="CT66">
        <f t="shared" si="132"/>
        <v>0</v>
      </c>
      <c r="CU66">
        <f t="shared" si="132"/>
        <v>0</v>
      </c>
      <c r="CV66">
        <f t="shared" si="132"/>
        <v>0</v>
      </c>
      <c r="CW66">
        <f t="shared" si="132"/>
        <v>0</v>
      </c>
      <c r="CX66">
        <f t="shared" si="132"/>
        <v>0</v>
      </c>
      <c r="CY66">
        <f t="shared" si="132"/>
        <v>0</v>
      </c>
      <c r="CZ66">
        <f t="shared" si="132"/>
        <v>0</v>
      </c>
      <c r="DA66">
        <f t="shared" si="132"/>
        <v>0</v>
      </c>
      <c r="DB66">
        <f t="shared" si="132"/>
        <v>0</v>
      </c>
      <c r="DC66">
        <f t="shared" si="132"/>
        <v>0</v>
      </c>
      <c r="DD66">
        <f t="shared" si="132"/>
        <v>0</v>
      </c>
      <c r="DE66">
        <f t="shared" si="132"/>
        <v>0</v>
      </c>
      <c r="DF66">
        <f t="shared" si="132"/>
        <v>0</v>
      </c>
      <c r="DG66">
        <f t="shared" si="132"/>
        <v>0</v>
      </c>
      <c r="DH66">
        <f t="shared" si="132"/>
        <v>0</v>
      </c>
      <c r="DI66">
        <f t="shared" si="132"/>
        <v>0</v>
      </c>
      <c r="DJ66">
        <f t="shared" si="132"/>
        <v>0</v>
      </c>
      <c r="DK66">
        <f t="shared" si="132"/>
        <v>0</v>
      </c>
      <c r="DL66">
        <f t="shared" si="132"/>
        <v>0</v>
      </c>
      <c r="DM66">
        <f t="shared" si="132"/>
        <v>0</v>
      </c>
      <c r="DN66">
        <f t="shared" si="132"/>
        <v>0</v>
      </c>
    </row>
    <row r="67" spans="1:118" x14ac:dyDescent="0.2">
      <c r="A67">
        <v>63</v>
      </c>
      <c r="B67">
        <v>82</v>
      </c>
      <c r="C67">
        <f t="shared" si="2"/>
        <v>4.6245998269296325E-2</v>
      </c>
      <c r="D67">
        <f t="shared" si="3"/>
        <v>2.1386923559237585E-3</v>
      </c>
      <c r="E67">
        <v>9.5610000000000001E-2</v>
      </c>
      <c r="F67">
        <f t="shared" si="0"/>
        <v>0.90439000000000003</v>
      </c>
      <c r="G67" s="34">
        <f t="shared" si="5"/>
        <v>0.3088641384262385</v>
      </c>
      <c r="H67" s="34"/>
      <c r="I67">
        <v>733.47225145177629</v>
      </c>
      <c r="J67">
        <v>82</v>
      </c>
      <c r="K67" s="38">
        <f t="shared" si="6"/>
        <v>733.47225145178106</v>
      </c>
      <c r="L67" s="22">
        <f t="shared" si="72"/>
        <v>532.07597346922603</v>
      </c>
      <c r="M67" s="23">
        <f t="shared" si="4"/>
        <v>439.52824054796787</v>
      </c>
      <c r="T67" s="60">
        <v>693.98</v>
      </c>
      <c r="U67">
        <v>9.5610000000000001E-2</v>
      </c>
      <c r="V67">
        <v>3.5714285714285712E-2</v>
      </c>
      <c r="W67">
        <v>3.9210560847676823E-2</v>
      </c>
      <c r="Z67">
        <f t="shared" si="10"/>
        <v>8.0299999999999996E-2</v>
      </c>
      <c r="AA67">
        <f t="shared" si="11"/>
        <v>0.91969999999999996</v>
      </c>
      <c r="AB67" s="34">
        <f t="shared" si="15"/>
        <v>0.37432212533162335</v>
      </c>
      <c r="AC67">
        <f t="shared" ref="AC67:CN67" si="133">AB68/AB$3</f>
        <v>0.3418686589863158</v>
      </c>
      <c r="AD67">
        <f t="shared" si="133"/>
        <v>0.30951067781912239</v>
      </c>
      <c r="AE67">
        <f t="shared" si="133"/>
        <v>0.27754019855455431</v>
      </c>
      <c r="AF67">
        <f t="shared" si="133"/>
        <v>0.24626493275490008</v>
      </c>
      <c r="AG67">
        <f t="shared" si="133"/>
        <v>0.2160100621091843</v>
      </c>
      <c r="AH67">
        <f t="shared" si="133"/>
        <v>0.18708991402327935</v>
      </c>
      <c r="AI67">
        <f t="shared" si="133"/>
        <v>0.15981123682316531</v>
      </c>
      <c r="AJ67">
        <f t="shared" si="133"/>
        <v>0.13445062239423961</v>
      </c>
      <c r="AK67">
        <f t="shared" si="133"/>
        <v>0.11124445654784196</v>
      </c>
      <c r="AL67">
        <f t="shared" si="133"/>
        <v>9.0376790599581217E-2</v>
      </c>
      <c r="AM67">
        <f t="shared" si="133"/>
        <v>7.1965982855778377E-2</v>
      </c>
      <c r="AN67">
        <f t="shared" si="133"/>
        <v>5.6060361027679077E-2</v>
      </c>
      <c r="AO67">
        <f t="shared" si="133"/>
        <v>4.2630133697838628E-2</v>
      </c>
      <c r="AP67">
        <f t="shared" si="133"/>
        <v>3.1571692267960812E-2</v>
      </c>
      <c r="AQ67">
        <f t="shared" si="133"/>
        <v>2.2714474001302439E-2</v>
      </c>
      <c r="AR67">
        <f t="shared" si="133"/>
        <v>1.5830872445220807E-2</v>
      </c>
      <c r="AS67">
        <f t="shared" si="133"/>
        <v>1.0655767128211382E-2</v>
      </c>
      <c r="AT67">
        <f t="shared" si="133"/>
        <v>6.903628143843799E-3</v>
      </c>
      <c r="AU67">
        <f t="shared" si="133"/>
        <v>4.2892917023911971E-3</v>
      </c>
      <c r="AV67">
        <f t="shared" si="133"/>
        <v>2.5453639190007042E-3</v>
      </c>
      <c r="AW67">
        <f t="shared" si="133"/>
        <v>1.4363201545296682E-3</v>
      </c>
      <c r="AX67">
        <f t="shared" si="133"/>
        <v>7.6696805186460672E-4</v>
      </c>
      <c r="AY67">
        <f t="shared" si="133"/>
        <v>3.8549223882893918E-4</v>
      </c>
      <c r="AZ67">
        <f t="shared" si="133"/>
        <v>1.8131163420556748E-4</v>
      </c>
      <c r="BA67">
        <f t="shared" si="133"/>
        <v>7.9293470916809184E-5</v>
      </c>
      <c r="BB67">
        <f t="shared" si="133"/>
        <v>3.2017525299812392E-5</v>
      </c>
      <c r="BC67">
        <f t="shared" si="133"/>
        <v>1.1845027688777524E-5</v>
      </c>
      <c r="BD67">
        <f t="shared" si="133"/>
        <v>3.9813069034505983E-6</v>
      </c>
      <c r="BE67">
        <f t="shared" si="133"/>
        <v>1.2049639662258576E-6</v>
      </c>
      <c r="BF67">
        <f t="shared" si="133"/>
        <v>3.2486072783813529E-7</v>
      </c>
      <c r="BG67">
        <f t="shared" si="133"/>
        <v>0</v>
      </c>
      <c r="BH67">
        <f t="shared" si="133"/>
        <v>0</v>
      </c>
      <c r="BI67">
        <f t="shared" si="133"/>
        <v>0</v>
      </c>
      <c r="BJ67">
        <f t="shared" si="133"/>
        <v>0</v>
      </c>
      <c r="BK67">
        <f t="shared" si="133"/>
        <v>0</v>
      </c>
      <c r="BL67">
        <f t="shared" si="133"/>
        <v>0</v>
      </c>
      <c r="BM67">
        <f t="shared" si="133"/>
        <v>0</v>
      </c>
      <c r="BN67">
        <f t="shared" si="133"/>
        <v>0</v>
      </c>
      <c r="BO67">
        <f t="shared" si="133"/>
        <v>0</v>
      </c>
      <c r="BP67">
        <f t="shared" si="133"/>
        <v>0</v>
      </c>
      <c r="BQ67">
        <f t="shared" si="133"/>
        <v>0</v>
      </c>
      <c r="BR67">
        <f t="shared" si="133"/>
        <v>0</v>
      </c>
      <c r="BS67">
        <f t="shared" si="133"/>
        <v>0</v>
      </c>
      <c r="BT67">
        <f t="shared" si="133"/>
        <v>0</v>
      </c>
      <c r="BU67">
        <f t="shared" si="133"/>
        <v>0</v>
      </c>
      <c r="BV67">
        <f t="shared" si="133"/>
        <v>0</v>
      </c>
      <c r="BW67">
        <f t="shared" si="133"/>
        <v>0</v>
      </c>
      <c r="BX67">
        <f t="shared" si="133"/>
        <v>0</v>
      </c>
      <c r="BY67">
        <f t="shared" si="133"/>
        <v>0</v>
      </c>
      <c r="BZ67">
        <f t="shared" si="133"/>
        <v>0</v>
      </c>
      <c r="CA67">
        <f t="shared" si="133"/>
        <v>0</v>
      </c>
      <c r="CB67">
        <f t="shared" si="133"/>
        <v>0</v>
      </c>
      <c r="CC67">
        <f t="shared" si="133"/>
        <v>0</v>
      </c>
      <c r="CD67">
        <f t="shared" si="133"/>
        <v>0</v>
      </c>
      <c r="CE67">
        <f t="shared" si="133"/>
        <v>0</v>
      </c>
      <c r="CF67">
        <f t="shared" si="133"/>
        <v>0</v>
      </c>
      <c r="CG67">
        <f t="shared" si="133"/>
        <v>0</v>
      </c>
      <c r="CH67">
        <f t="shared" si="133"/>
        <v>0</v>
      </c>
      <c r="CI67">
        <f t="shared" si="133"/>
        <v>0</v>
      </c>
      <c r="CJ67">
        <f t="shared" si="133"/>
        <v>0</v>
      </c>
      <c r="CK67">
        <f t="shared" si="133"/>
        <v>0</v>
      </c>
      <c r="CL67">
        <f t="shared" si="133"/>
        <v>0</v>
      </c>
      <c r="CM67">
        <f t="shared" si="133"/>
        <v>0</v>
      </c>
      <c r="CN67">
        <f t="shared" si="133"/>
        <v>0</v>
      </c>
      <c r="CO67">
        <f t="shared" ref="CO67:DN67" si="134">CN68/CN$3</f>
        <v>0</v>
      </c>
      <c r="CP67">
        <f t="shared" si="134"/>
        <v>0</v>
      </c>
      <c r="CQ67">
        <f t="shared" si="134"/>
        <v>0</v>
      </c>
      <c r="CR67">
        <f t="shared" si="134"/>
        <v>0</v>
      </c>
      <c r="CS67">
        <f t="shared" si="134"/>
        <v>0</v>
      </c>
      <c r="CT67">
        <f t="shared" si="134"/>
        <v>0</v>
      </c>
      <c r="CU67">
        <f t="shared" si="134"/>
        <v>0</v>
      </c>
      <c r="CV67">
        <f t="shared" si="134"/>
        <v>0</v>
      </c>
      <c r="CW67">
        <f t="shared" si="134"/>
        <v>0</v>
      </c>
      <c r="CX67">
        <f t="shared" si="134"/>
        <v>0</v>
      </c>
      <c r="CY67">
        <f t="shared" si="134"/>
        <v>0</v>
      </c>
      <c r="CZ67">
        <f t="shared" si="134"/>
        <v>0</v>
      </c>
      <c r="DA67">
        <f t="shared" si="134"/>
        <v>0</v>
      </c>
      <c r="DB67">
        <f t="shared" si="134"/>
        <v>0</v>
      </c>
      <c r="DC67">
        <f t="shared" si="134"/>
        <v>0</v>
      </c>
      <c r="DD67">
        <f t="shared" si="134"/>
        <v>0</v>
      </c>
      <c r="DE67">
        <f t="shared" si="134"/>
        <v>0</v>
      </c>
      <c r="DF67">
        <f t="shared" si="134"/>
        <v>0</v>
      </c>
      <c r="DG67">
        <f t="shared" si="134"/>
        <v>0</v>
      </c>
      <c r="DH67">
        <f t="shared" si="134"/>
        <v>0</v>
      </c>
      <c r="DI67">
        <f t="shared" si="134"/>
        <v>0</v>
      </c>
      <c r="DJ67">
        <f t="shared" si="134"/>
        <v>0</v>
      </c>
      <c r="DK67">
        <f t="shared" si="134"/>
        <v>0</v>
      </c>
      <c r="DL67">
        <f t="shared" si="134"/>
        <v>0</v>
      </c>
      <c r="DM67">
        <f t="shared" si="134"/>
        <v>0</v>
      </c>
      <c r="DN67">
        <f t="shared" si="134"/>
        <v>0</v>
      </c>
    </row>
    <row r="68" spans="1:118" x14ac:dyDescent="0.2">
      <c r="A68">
        <v>64</v>
      </c>
      <c r="B68">
        <v>83</v>
      </c>
      <c r="C68">
        <f t="shared" si="2"/>
        <v>4.4043807875520306E-2</v>
      </c>
      <c r="D68">
        <f t="shared" si="3"/>
        <v>1.9398570121757445E-3</v>
      </c>
      <c r="E68">
        <v>0.10428</v>
      </c>
      <c r="F68">
        <f t="shared" si="0"/>
        <v>0.89571999999999996</v>
      </c>
      <c r="G68" s="34">
        <f t="shared" si="5"/>
        <v>0.27665578607115032</v>
      </c>
      <c r="H68" s="34"/>
      <c r="I68">
        <v>745.84622123681743</v>
      </c>
      <c r="J68">
        <v>83</v>
      </c>
      <c r="K68" s="38">
        <f t="shared" si="6"/>
        <v>745.84622123682277</v>
      </c>
      <c r="L68" s="22">
        <f t="shared" si="72"/>
        <v>542.33457851834248</v>
      </c>
      <c r="M68" s="23">
        <f t="shared" si="4"/>
        <v>439.52824054796787</v>
      </c>
      <c r="T68" s="60">
        <v>707.67</v>
      </c>
      <c r="U68">
        <v>0.10428</v>
      </c>
      <c r="V68">
        <v>3.7037037037037035E-2</v>
      </c>
      <c r="W68">
        <v>3.9210560847676823E-2</v>
      </c>
      <c r="Z68">
        <f t="shared" si="10"/>
        <v>8.7639999999999996E-2</v>
      </c>
      <c r="AA68">
        <f t="shared" si="11"/>
        <v>0.91236000000000006</v>
      </c>
      <c r="AB68" s="34">
        <f t="shared" si="15"/>
        <v>0.3415165342675599</v>
      </c>
      <c r="AC68">
        <f t="shared" ref="AC68:CN68" si="135">AB69/AB$3</f>
        <v>0.30918259650063412</v>
      </c>
      <c r="AD68">
        <f t="shared" si="135"/>
        <v>0.27723490433614428</v>
      </c>
      <c r="AE68">
        <f t="shared" si="135"/>
        <v>0.24598665338088704</v>
      </c>
      <c r="AF68">
        <f t="shared" si="135"/>
        <v>0.21575517023589547</v>
      </c>
      <c r="AG68">
        <f t="shared" si="135"/>
        <v>0.18686166432817095</v>
      </c>
      <c r="AH68">
        <f t="shared" si="135"/>
        <v>0.1596082765523999</v>
      </c>
      <c r="AI68">
        <f t="shared" si="135"/>
        <v>0.13427180306645525</v>
      </c>
      <c r="AJ68">
        <f t="shared" si="135"/>
        <v>0.11108982675324046</v>
      </c>
      <c r="AK68">
        <f t="shared" si="135"/>
        <v>9.024484048530583E-2</v>
      </c>
      <c r="AL68">
        <f t="shared" si="135"/>
        <v>7.1855874902009037E-2</v>
      </c>
      <c r="AM68">
        <f t="shared" si="135"/>
        <v>5.5970103846424514E-2</v>
      </c>
      <c r="AN68">
        <f t="shared" si="135"/>
        <v>4.2557662470552302E-2</v>
      </c>
      <c r="AO68">
        <f t="shared" si="135"/>
        <v>3.1515178938801167E-2</v>
      </c>
      <c r="AP68">
        <f t="shared" si="135"/>
        <v>2.2671316500699965E-2</v>
      </c>
      <c r="AQ68">
        <f t="shared" si="135"/>
        <v>1.5799052391605915E-2</v>
      </c>
      <c r="AR68">
        <f t="shared" si="135"/>
        <v>1.0632963786557009E-2</v>
      </c>
      <c r="AS68">
        <f t="shared" si="135"/>
        <v>6.8878878716758353E-3</v>
      </c>
      <c r="AT68">
        <f t="shared" si="135"/>
        <v>4.2788687235543865E-3</v>
      </c>
      <c r="AU68">
        <f t="shared" si="135"/>
        <v>2.5387459728113022E-3</v>
      </c>
      <c r="AV68">
        <f t="shared" si="135"/>
        <v>1.4323271845000758E-3</v>
      </c>
      <c r="AW68">
        <f t="shared" si="135"/>
        <v>7.6468248707005023E-4</v>
      </c>
      <c r="AX68">
        <f t="shared" si="135"/>
        <v>3.8425866366468658E-4</v>
      </c>
      <c r="AY68">
        <f t="shared" si="135"/>
        <v>1.8068792218390033E-4</v>
      </c>
      <c r="AZ68">
        <f t="shared" si="135"/>
        <v>7.8999292139707818E-5</v>
      </c>
      <c r="BA68">
        <f t="shared" si="135"/>
        <v>3.1889455198613143E-5</v>
      </c>
      <c r="BB68">
        <f t="shared" si="135"/>
        <v>1.1793975619438893E-5</v>
      </c>
      <c r="BC68">
        <f t="shared" si="135"/>
        <v>3.9627540132805182E-6</v>
      </c>
      <c r="BD68">
        <f t="shared" si="135"/>
        <v>1.1988909478360793E-6</v>
      </c>
      <c r="BE68">
        <f t="shared" si="135"/>
        <v>3.2308698826413907E-7</v>
      </c>
      <c r="BF68">
        <f t="shared" si="135"/>
        <v>0</v>
      </c>
      <c r="BG68">
        <f t="shared" si="135"/>
        <v>0</v>
      </c>
      <c r="BH68">
        <f t="shared" si="135"/>
        <v>0</v>
      </c>
      <c r="BI68">
        <f t="shared" si="135"/>
        <v>0</v>
      </c>
      <c r="BJ68">
        <f t="shared" si="135"/>
        <v>0</v>
      </c>
      <c r="BK68">
        <f t="shared" si="135"/>
        <v>0</v>
      </c>
      <c r="BL68">
        <f t="shared" si="135"/>
        <v>0</v>
      </c>
      <c r="BM68">
        <f t="shared" si="135"/>
        <v>0</v>
      </c>
      <c r="BN68">
        <f t="shared" si="135"/>
        <v>0</v>
      </c>
      <c r="BO68">
        <f t="shared" si="135"/>
        <v>0</v>
      </c>
      <c r="BP68">
        <f t="shared" si="135"/>
        <v>0</v>
      </c>
      <c r="BQ68">
        <f t="shared" si="135"/>
        <v>0</v>
      </c>
      <c r="BR68">
        <f t="shared" si="135"/>
        <v>0</v>
      </c>
      <c r="BS68">
        <f t="shared" si="135"/>
        <v>0</v>
      </c>
      <c r="BT68">
        <f t="shared" si="135"/>
        <v>0</v>
      </c>
      <c r="BU68">
        <f t="shared" si="135"/>
        <v>0</v>
      </c>
      <c r="BV68">
        <f t="shared" si="135"/>
        <v>0</v>
      </c>
      <c r="BW68">
        <f t="shared" si="135"/>
        <v>0</v>
      </c>
      <c r="BX68">
        <f t="shared" si="135"/>
        <v>0</v>
      </c>
      <c r="BY68">
        <f t="shared" si="135"/>
        <v>0</v>
      </c>
      <c r="BZ68">
        <f t="shared" si="135"/>
        <v>0</v>
      </c>
      <c r="CA68">
        <f t="shared" si="135"/>
        <v>0</v>
      </c>
      <c r="CB68">
        <f t="shared" si="135"/>
        <v>0</v>
      </c>
      <c r="CC68">
        <f t="shared" si="135"/>
        <v>0</v>
      </c>
      <c r="CD68">
        <f t="shared" si="135"/>
        <v>0</v>
      </c>
      <c r="CE68">
        <f t="shared" si="135"/>
        <v>0</v>
      </c>
      <c r="CF68">
        <f t="shared" si="135"/>
        <v>0</v>
      </c>
      <c r="CG68">
        <f t="shared" si="135"/>
        <v>0</v>
      </c>
      <c r="CH68">
        <f t="shared" si="135"/>
        <v>0</v>
      </c>
      <c r="CI68">
        <f t="shared" si="135"/>
        <v>0</v>
      </c>
      <c r="CJ68">
        <f t="shared" si="135"/>
        <v>0</v>
      </c>
      <c r="CK68">
        <f t="shared" si="135"/>
        <v>0</v>
      </c>
      <c r="CL68">
        <f t="shared" si="135"/>
        <v>0</v>
      </c>
      <c r="CM68">
        <f t="shared" si="135"/>
        <v>0</v>
      </c>
      <c r="CN68">
        <f t="shared" si="135"/>
        <v>0</v>
      </c>
      <c r="CO68">
        <f t="shared" ref="CO68:DN68" si="136">CN69/CN$3</f>
        <v>0</v>
      </c>
      <c r="CP68">
        <f t="shared" si="136"/>
        <v>0</v>
      </c>
      <c r="CQ68">
        <f t="shared" si="136"/>
        <v>0</v>
      </c>
      <c r="CR68">
        <f t="shared" si="136"/>
        <v>0</v>
      </c>
      <c r="CS68">
        <f t="shared" si="136"/>
        <v>0</v>
      </c>
      <c r="CT68">
        <f t="shared" si="136"/>
        <v>0</v>
      </c>
      <c r="CU68">
        <f t="shared" si="136"/>
        <v>0</v>
      </c>
      <c r="CV68">
        <f t="shared" si="136"/>
        <v>0</v>
      </c>
      <c r="CW68">
        <f t="shared" si="136"/>
        <v>0</v>
      </c>
      <c r="CX68">
        <f t="shared" si="136"/>
        <v>0</v>
      </c>
      <c r="CY68">
        <f t="shared" si="136"/>
        <v>0</v>
      </c>
      <c r="CZ68">
        <f t="shared" si="136"/>
        <v>0</v>
      </c>
      <c r="DA68">
        <f t="shared" si="136"/>
        <v>0</v>
      </c>
      <c r="DB68">
        <f t="shared" si="136"/>
        <v>0</v>
      </c>
      <c r="DC68">
        <f t="shared" si="136"/>
        <v>0</v>
      </c>
      <c r="DD68">
        <f t="shared" si="136"/>
        <v>0</v>
      </c>
      <c r="DE68">
        <f t="shared" si="136"/>
        <v>0</v>
      </c>
      <c r="DF68">
        <f t="shared" si="136"/>
        <v>0</v>
      </c>
      <c r="DG68">
        <f t="shared" si="136"/>
        <v>0</v>
      </c>
      <c r="DH68">
        <f t="shared" si="136"/>
        <v>0</v>
      </c>
      <c r="DI68">
        <f t="shared" si="136"/>
        <v>0</v>
      </c>
      <c r="DJ68">
        <f t="shared" si="136"/>
        <v>0</v>
      </c>
      <c r="DK68">
        <f t="shared" si="136"/>
        <v>0</v>
      </c>
      <c r="DL68">
        <f t="shared" si="136"/>
        <v>0</v>
      </c>
      <c r="DM68">
        <f t="shared" si="136"/>
        <v>0</v>
      </c>
      <c r="DN68">
        <f t="shared" si="136"/>
        <v>0</v>
      </c>
    </row>
    <row r="69" spans="1:118" x14ac:dyDescent="0.2">
      <c r="A69">
        <v>65</v>
      </c>
      <c r="B69">
        <v>84</v>
      </c>
      <c r="C69">
        <f t="shared" si="2"/>
        <v>4.1946483690971717E-2</v>
      </c>
      <c r="D69">
        <f t="shared" si="3"/>
        <v>1.7595074940369563E-3</v>
      </c>
      <c r="E69">
        <v>0.11369</v>
      </c>
      <c r="F69">
        <f t="shared" ref="F69:F95" si="137">1-E69</f>
        <v>0.88631000000000004</v>
      </c>
      <c r="G69" s="34">
        <f t="shared" si="5"/>
        <v>0.24520278975272125</v>
      </c>
      <c r="H69" s="34"/>
      <c r="I69">
        <v>757.89145301953556</v>
      </c>
      <c r="J69">
        <v>84</v>
      </c>
      <c r="K69" s="38">
        <f t="shared" si="6"/>
        <v>757.89145301954181</v>
      </c>
      <c r="L69" s="22">
        <f t="shared" ref="L69:L95" si="138">-PV(0.05,110-B69,1)/(110-B69)*1000</f>
        <v>552.8917423459618</v>
      </c>
      <c r="M69" s="23">
        <f t="shared" si="4"/>
        <v>439.52824054796787</v>
      </c>
      <c r="T69" s="60">
        <v>721.04</v>
      </c>
      <c r="U69">
        <v>0.11369</v>
      </c>
      <c r="V69">
        <v>3.8461538461538464E-2</v>
      </c>
      <c r="W69">
        <v>3.9210560847676823E-2</v>
      </c>
      <c r="Z69">
        <f t="shared" si="10"/>
        <v>9.5610000000000001E-2</v>
      </c>
      <c r="AA69">
        <f t="shared" si="11"/>
        <v>0.90439000000000003</v>
      </c>
      <c r="AB69" s="34">
        <f t="shared" si="15"/>
        <v>0.3088641384262385</v>
      </c>
      <c r="AC69">
        <f t="shared" ref="AC69:CN69" si="139">AB70/AB$3</f>
        <v>0.27694103533754799</v>
      </c>
      <c r="AD69">
        <f t="shared" si="139"/>
        <v>0.24571606806216806</v>
      </c>
      <c r="AE69">
        <f t="shared" si="139"/>
        <v>0.2155113668935289</v>
      </c>
      <c r="AF69">
        <f t="shared" si="139"/>
        <v>0.18664116756426372</v>
      </c>
      <c r="AG69">
        <f t="shared" si="139"/>
        <v>0.15941355445500596</v>
      </c>
      <c r="AH69">
        <f t="shared" si="139"/>
        <v>0.13410127787656084</v>
      </c>
      <c r="AI69">
        <f t="shared" si="139"/>
        <v>0.11094207728365864</v>
      </c>
      <c r="AJ69">
        <f t="shared" si="139"/>
        <v>9.0119400157031251E-2</v>
      </c>
      <c r="AK69">
        <f t="shared" si="139"/>
        <v>7.1750965324652097E-2</v>
      </c>
      <c r="AL69">
        <f t="shared" si="139"/>
        <v>5.5884469587539481E-2</v>
      </c>
      <c r="AM69">
        <f t="shared" si="139"/>
        <v>4.2489144633974713E-2</v>
      </c>
      <c r="AN69">
        <f t="shared" si="139"/>
        <v>3.1461603134605207E-2</v>
      </c>
      <c r="AO69">
        <f t="shared" si="139"/>
        <v>2.2630734844163714E-2</v>
      </c>
      <c r="AP69">
        <f t="shared" si="139"/>
        <v>1.5769034192061864E-2</v>
      </c>
      <c r="AQ69">
        <f t="shared" si="139"/>
        <v>1.0611591529346031E-2</v>
      </c>
      <c r="AR69">
        <f t="shared" si="139"/>
        <v>6.8731477916304492E-3</v>
      </c>
      <c r="AS69">
        <f t="shared" si="139"/>
        <v>4.2691129028646826E-3</v>
      </c>
      <c r="AT69">
        <f t="shared" si="139"/>
        <v>2.5325768200973706E-3</v>
      </c>
      <c r="AU69">
        <f t="shared" si="139"/>
        <v>1.4286031338203754E-3</v>
      </c>
      <c r="AV69">
        <f t="shared" si="139"/>
        <v>7.6255666975599552E-4</v>
      </c>
      <c r="AW69">
        <f t="shared" si="139"/>
        <v>3.831135728469658E-4</v>
      </c>
      <c r="AX69">
        <f t="shared" si="139"/>
        <v>1.8010972083291185E-4</v>
      </c>
      <c r="AY69">
        <f t="shared" si="139"/>
        <v>7.8727534574747228E-5</v>
      </c>
      <c r="AZ69">
        <f t="shared" si="139"/>
        <v>3.1771145319826286E-5</v>
      </c>
      <c r="BA69">
        <f t="shared" si="139"/>
        <v>1.1746799716961138E-5</v>
      </c>
      <c r="BB69">
        <f t="shared" si="139"/>
        <v>3.9456745434832787E-6</v>
      </c>
      <c r="BC69">
        <f t="shared" si="139"/>
        <v>1.1933041160191632E-6</v>
      </c>
      <c r="BD69">
        <f t="shared" si="139"/>
        <v>3.2145862984328782E-7</v>
      </c>
      <c r="BE69">
        <f t="shared" si="139"/>
        <v>0</v>
      </c>
      <c r="BF69">
        <f t="shared" si="139"/>
        <v>0</v>
      </c>
      <c r="BG69">
        <f t="shared" si="139"/>
        <v>0</v>
      </c>
      <c r="BH69">
        <f t="shared" si="139"/>
        <v>0</v>
      </c>
      <c r="BI69">
        <f t="shared" si="139"/>
        <v>0</v>
      </c>
      <c r="BJ69">
        <f t="shared" si="139"/>
        <v>0</v>
      </c>
      <c r="BK69">
        <f t="shared" si="139"/>
        <v>0</v>
      </c>
      <c r="BL69">
        <f t="shared" si="139"/>
        <v>0</v>
      </c>
      <c r="BM69">
        <f t="shared" si="139"/>
        <v>0</v>
      </c>
      <c r="BN69">
        <f t="shared" si="139"/>
        <v>0</v>
      </c>
      <c r="BO69">
        <f t="shared" si="139"/>
        <v>0</v>
      </c>
      <c r="BP69">
        <f t="shared" si="139"/>
        <v>0</v>
      </c>
      <c r="BQ69">
        <f t="shared" si="139"/>
        <v>0</v>
      </c>
      <c r="BR69">
        <f t="shared" si="139"/>
        <v>0</v>
      </c>
      <c r="BS69">
        <f t="shared" si="139"/>
        <v>0</v>
      </c>
      <c r="BT69">
        <f t="shared" si="139"/>
        <v>0</v>
      </c>
      <c r="BU69">
        <f t="shared" si="139"/>
        <v>0</v>
      </c>
      <c r="BV69">
        <f t="shared" si="139"/>
        <v>0</v>
      </c>
      <c r="BW69">
        <f t="shared" si="139"/>
        <v>0</v>
      </c>
      <c r="BX69">
        <f t="shared" si="139"/>
        <v>0</v>
      </c>
      <c r="BY69">
        <f t="shared" si="139"/>
        <v>0</v>
      </c>
      <c r="BZ69">
        <f t="shared" si="139"/>
        <v>0</v>
      </c>
      <c r="CA69">
        <f t="shared" si="139"/>
        <v>0</v>
      </c>
      <c r="CB69">
        <f t="shared" si="139"/>
        <v>0</v>
      </c>
      <c r="CC69">
        <f t="shared" si="139"/>
        <v>0</v>
      </c>
      <c r="CD69">
        <f t="shared" si="139"/>
        <v>0</v>
      </c>
      <c r="CE69">
        <f t="shared" si="139"/>
        <v>0</v>
      </c>
      <c r="CF69">
        <f t="shared" si="139"/>
        <v>0</v>
      </c>
      <c r="CG69">
        <f t="shared" si="139"/>
        <v>0</v>
      </c>
      <c r="CH69">
        <f t="shared" si="139"/>
        <v>0</v>
      </c>
      <c r="CI69">
        <f t="shared" si="139"/>
        <v>0</v>
      </c>
      <c r="CJ69">
        <f t="shared" si="139"/>
        <v>0</v>
      </c>
      <c r="CK69">
        <f t="shared" si="139"/>
        <v>0</v>
      </c>
      <c r="CL69">
        <f t="shared" si="139"/>
        <v>0</v>
      </c>
      <c r="CM69">
        <f t="shared" si="139"/>
        <v>0</v>
      </c>
      <c r="CN69">
        <f t="shared" si="139"/>
        <v>0</v>
      </c>
      <c r="CO69">
        <f t="shared" ref="CO69:DN69" si="140">CN70/CN$3</f>
        <v>0</v>
      </c>
      <c r="CP69">
        <f t="shared" si="140"/>
        <v>0</v>
      </c>
      <c r="CQ69">
        <f t="shared" si="140"/>
        <v>0</v>
      </c>
      <c r="CR69">
        <f t="shared" si="140"/>
        <v>0</v>
      </c>
      <c r="CS69">
        <f t="shared" si="140"/>
        <v>0</v>
      </c>
      <c r="CT69">
        <f t="shared" si="140"/>
        <v>0</v>
      </c>
      <c r="CU69">
        <f t="shared" si="140"/>
        <v>0</v>
      </c>
      <c r="CV69">
        <f t="shared" si="140"/>
        <v>0</v>
      </c>
      <c r="CW69">
        <f t="shared" si="140"/>
        <v>0</v>
      </c>
      <c r="CX69">
        <f t="shared" si="140"/>
        <v>0</v>
      </c>
      <c r="CY69">
        <f t="shared" si="140"/>
        <v>0</v>
      </c>
      <c r="CZ69">
        <f t="shared" si="140"/>
        <v>0</v>
      </c>
      <c r="DA69">
        <f t="shared" si="140"/>
        <v>0</v>
      </c>
      <c r="DB69">
        <f t="shared" si="140"/>
        <v>0</v>
      </c>
      <c r="DC69">
        <f t="shared" si="140"/>
        <v>0</v>
      </c>
      <c r="DD69">
        <f t="shared" si="140"/>
        <v>0</v>
      </c>
      <c r="DE69">
        <f t="shared" si="140"/>
        <v>0</v>
      </c>
      <c r="DF69">
        <f t="shared" si="140"/>
        <v>0</v>
      </c>
      <c r="DG69">
        <f t="shared" si="140"/>
        <v>0</v>
      </c>
      <c r="DH69">
        <f t="shared" si="140"/>
        <v>0</v>
      </c>
      <c r="DI69">
        <f t="shared" si="140"/>
        <v>0</v>
      </c>
      <c r="DJ69">
        <f t="shared" si="140"/>
        <v>0</v>
      </c>
      <c r="DK69">
        <f t="shared" si="140"/>
        <v>0</v>
      </c>
      <c r="DL69">
        <f t="shared" si="140"/>
        <v>0</v>
      </c>
      <c r="DM69">
        <f t="shared" si="140"/>
        <v>0</v>
      </c>
      <c r="DN69">
        <f t="shared" si="140"/>
        <v>0</v>
      </c>
    </row>
    <row r="70" spans="1:118" x14ac:dyDescent="0.2">
      <c r="A70">
        <v>66</v>
      </c>
      <c r="B70">
        <v>85</v>
      </c>
      <c r="C70">
        <f t="shared" ref="C70:C95" si="141">(1/(1+$C$2))^A70</f>
        <v>3.9949032086639732E-2</v>
      </c>
      <c r="D70">
        <f t="shared" ref="D70:D95" si="142">C70^2</f>
        <v>1.595925164659371E-3</v>
      </c>
      <c r="E70">
        <v>0.12389</v>
      </c>
      <c r="F70">
        <f t="shared" si="137"/>
        <v>0.87610999999999994</v>
      </c>
      <c r="G70" s="34">
        <f t="shared" si="5"/>
        <v>0.21482461613025661</v>
      </c>
      <c r="H70" s="34"/>
      <c r="I70">
        <v>769.59080420001158</v>
      </c>
      <c r="J70">
        <v>85</v>
      </c>
      <c r="K70" s="38">
        <f t="shared" si="6"/>
        <v>769.59080420001897</v>
      </c>
      <c r="L70" s="22">
        <f t="shared" si="138"/>
        <v>563.7577826417903</v>
      </c>
      <c r="M70" s="23">
        <f t="shared" ref="M70:M95" si="143">(1-EXP(-0.04))/((1-EXP(-0.04))+0.05)*1000</f>
        <v>439.52824054796787</v>
      </c>
      <c r="T70" s="58">
        <v>734.07</v>
      </c>
      <c r="U70">
        <v>0.12389</v>
      </c>
      <c r="V70">
        <v>0.04</v>
      </c>
      <c r="W70">
        <v>3.9210560847676823E-2</v>
      </c>
      <c r="Z70">
        <f t="shared" si="10"/>
        <v>0.10428</v>
      </c>
      <c r="AA70">
        <f t="shared" si="11"/>
        <v>0.89571999999999996</v>
      </c>
      <c r="AB70" s="34">
        <f t="shared" si="15"/>
        <v>0.27665578607115032</v>
      </c>
      <c r="AC70">
        <f t="shared" ref="AC70:CN70" si="144">AB71/AB$3</f>
        <v>0.24545560903002217</v>
      </c>
      <c r="AD70">
        <f t="shared" si="144"/>
        <v>0.21527430438994602</v>
      </c>
      <c r="AE70">
        <f t="shared" si="144"/>
        <v>0.18643026304491611</v>
      </c>
      <c r="AF70">
        <f t="shared" si="144"/>
        <v>0.15922544646074907</v>
      </c>
      <c r="AG70">
        <f t="shared" si="144"/>
        <v>0.13393767431755144</v>
      </c>
      <c r="AH70">
        <f t="shared" si="144"/>
        <v>0.1108011808455084</v>
      </c>
      <c r="AI70">
        <f t="shared" si="144"/>
        <v>8.9999541354822396E-2</v>
      </c>
      <c r="AJ70">
        <f t="shared" si="144"/>
        <v>7.1651231482850825E-2</v>
      </c>
      <c r="AK70">
        <f t="shared" si="144"/>
        <v>5.580287826194167E-2</v>
      </c>
      <c r="AL70">
        <f t="shared" si="144"/>
        <v>4.2424136242684728E-2</v>
      </c>
      <c r="AM70">
        <f t="shared" si="144"/>
        <v>3.141094995355849E-2</v>
      </c>
      <c r="AN70">
        <f t="shared" si="144"/>
        <v>2.2592262594928636E-2</v>
      </c>
      <c r="AO70">
        <f t="shared" si="144"/>
        <v>1.5740807620858076E-2</v>
      </c>
      <c r="AP70">
        <f t="shared" si="144"/>
        <v>1.0591429505440272E-2</v>
      </c>
      <c r="AQ70">
        <f t="shared" si="144"/>
        <v>6.8593327645692726E-3</v>
      </c>
      <c r="AR70">
        <f t="shared" si="144"/>
        <v>4.2599770012525517E-3</v>
      </c>
      <c r="AS70">
        <f t="shared" si="144"/>
        <v>2.5268025449475488E-3</v>
      </c>
      <c r="AT70">
        <f t="shared" si="144"/>
        <v>1.4251316282051919E-3</v>
      </c>
      <c r="AU70">
        <f t="shared" si="144"/>
        <v>7.6057402241462991E-4</v>
      </c>
      <c r="AV70">
        <f t="shared" si="144"/>
        <v>3.8204851711445126E-4</v>
      </c>
      <c r="AW70">
        <f t="shared" si="144"/>
        <v>1.7957299386482978E-4</v>
      </c>
      <c r="AX70">
        <f t="shared" si="144"/>
        <v>7.8475606464108042E-5</v>
      </c>
      <c r="AY70">
        <f t="shared" si="144"/>
        <v>3.1661852579926086E-5</v>
      </c>
      <c r="AZ70">
        <f t="shared" si="144"/>
        <v>1.1703219090011212E-5</v>
      </c>
      <c r="BA70">
        <f t="shared" si="144"/>
        <v>3.929891845309346E-6</v>
      </c>
      <c r="BB70">
        <f t="shared" si="144"/>
        <v>1.1881609752791206E-6</v>
      </c>
      <c r="BC70">
        <f t="shared" si="144"/>
        <v>3.1996063262821811E-7</v>
      </c>
      <c r="BD70">
        <f t="shared" si="144"/>
        <v>0</v>
      </c>
      <c r="BE70">
        <f t="shared" si="144"/>
        <v>0</v>
      </c>
      <c r="BF70">
        <f t="shared" si="144"/>
        <v>0</v>
      </c>
      <c r="BG70">
        <f t="shared" si="144"/>
        <v>0</v>
      </c>
      <c r="BH70">
        <f t="shared" si="144"/>
        <v>0</v>
      </c>
      <c r="BI70">
        <f t="shared" si="144"/>
        <v>0</v>
      </c>
      <c r="BJ70">
        <f t="shared" si="144"/>
        <v>0</v>
      </c>
      <c r="BK70">
        <f t="shared" si="144"/>
        <v>0</v>
      </c>
      <c r="BL70">
        <f t="shared" si="144"/>
        <v>0</v>
      </c>
      <c r="BM70">
        <f t="shared" si="144"/>
        <v>0</v>
      </c>
      <c r="BN70">
        <f t="shared" si="144"/>
        <v>0</v>
      </c>
      <c r="BO70">
        <f t="shared" si="144"/>
        <v>0</v>
      </c>
      <c r="BP70">
        <f t="shared" si="144"/>
        <v>0</v>
      </c>
      <c r="BQ70">
        <f t="shared" si="144"/>
        <v>0</v>
      </c>
      <c r="BR70">
        <f t="shared" si="144"/>
        <v>0</v>
      </c>
      <c r="BS70">
        <f t="shared" si="144"/>
        <v>0</v>
      </c>
      <c r="BT70">
        <f t="shared" si="144"/>
        <v>0</v>
      </c>
      <c r="BU70">
        <f t="shared" si="144"/>
        <v>0</v>
      </c>
      <c r="BV70">
        <f t="shared" si="144"/>
        <v>0</v>
      </c>
      <c r="BW70">
        <f t="shared" si="144"/>
        <v>0</v>
      </c>
      <c r="BX70">
        <f t="shared" si="144"/>
        <v>0</v>
      </c>
      <c r="BY70">
        <f t="shared" si="144"/>
        <v>0</v>
      </c>
      <c r="BZ70">
        <f t="shared" si="144"/>
        <v>0</v>
      </c>
      <c r="CA70">
        <f t="shared" si="144"/>
        <v>0</v>
      </c>
      <c r="CB70">
        <f t="shared" si="144"/>
        <v>0</v>
      </c>
      <c r="CC70">
        <f t="shared" si="144"/>
        <v>0</v>
      </c>
      <c r="CD70">
        <f t="shared" si="144"/>
        <v>0</v>
      </c>
      <c r="CE70">
        <f t="shared" si="144"/>
        <v>0</v>
      </c>
      <c r="CF70">
        <f t="shared" si="144"/>
        <v>0</v>
      </c>
      <c r="CG70">
        <f t="shared" si="144"/>
        <v>0</v>
      </c>
      <c r="CH70">
        <f t="shared" si="144"/>
        <v>0</v>
      </c>
      <c r="CI70">
        <f t="shared" si="144"/>
        <v>0</v>
      </c>
      <c r="CJ70">
        <f t="shared" si="144"/>
        <v>0</v>
      </c>
      <c r="CK70">
        <f t="shared" si="144"/>
        <v>0</v>
      </c>
      <c r="CL70">
        <f t="shared" si="144"/>
        <v>0</v>
      </c>
      <c r="CM70">
        <f t="shared" si="144"/>
        <v>0</v>
      </c>
      <c r="CN70">
        <f t="shared" si="144"/>
        <v>0</v>
      </c>
      <c r="CO70">
        <f t="shared" ref="CO70:DN70" si="145">CN71/CN$3</f>
        <v>0</v>
      </c>
      <c r="CP70">
        <f t="shared" si="145"/>
        <v>0</v>
      </c>
      <c r="CQ70">
        <f t="shared" si="145"/>
        <v>0</v>
      </c>
      <c r="CR70">
        <f t="shared" si="145"/>
        <v>0</v>
      </c>
      <c r="CS70">
        <f t="shared" si="145"/>
        <v>0</v>
      </c>
      <c r="CT70">
        <f t="shared" si="145"/>
        <v>0</v>
      </c>
      <c r="CU70">
        <f t="shared" si="145"/>
        <v>0</v>
      </c>
      <c r="CV70">
        <f t="shared" si="145"/>
        <v>0</v>
      </c>
      <c r="CW70">
        <f t="shared" si="145"/>
        <v>0</v>
      </c>
      <c r="CX70">
        <f t="shared" si="145"/>
        <v>0</v>
      </c>
      <c r="CY70">
        <f t="shared" si="145"/>
        <v>0</v>
      </c>
      <c r="CZ70">
        <f t="shared" si="145"/>
        <v>0</v>
      </c>
      <c r="DA70">
        <f t="shared" si="145"/>
        <v>0</v>
      </c>
      <c r="DB70">
        <f t="shared" si="145"/>
        <v>0</v>
      </c>
      <c r="DC70">
        <f t="shared" si="145"/>
        <v>0</v>
      </c>
      <c r="DD70">
        <f t="shared" si="145"/>
        <v>0</v>
      </c>
      <c r="DE70">
        <f t="shared" si="145"/>
        <v>0</v>
      </c>
      <c r="DF70">
        <f t="shared" si="145"/>
        <v>0</v>
      </c>
      <c r="DG70">
        <f t="shared" si="145"/>
        <v>0</v>
      </c>
      <c r="DH70">
        <f t="shared" si="145"/>
        <v>0</v>
      </c>
      <c r="DI70">
        <f t="shared" si="145"/>
        <v>0</v>
      </c>
      <c r="DJ70">
        <f t="shared" si="145"/>
        <v>0</v>
      </c>
      <c r="DK70">
        <f t="shared" si="145"/>
        <v>0</v>
      </c>
      <c r="DL70">
        <f t="shared" si="145"/>
        <v>0</v>
      </c>
      <c r="DM70">
        <f t="shared" si="145"/>
        <v>0</v>
      </c>
      <c r="DN70">
        <f t="shared" si="145"/>
        <v>0</v>
      </c>
    </row>
    <row r="71" spans="1:118" x14ac:dyDescent="0.2">
      <c r="A71">
        <v>67</v>
      </c>
      <c r="B71">
        <v>86</v>
      </c>
      <c r="C71">
        <f t="shared" si="141"/>
        <v>3.804669722537117E-2</v>
      </c>
      <c r="D71">
        <f t="shared" si="142"/>
        <v>1.4475511697590662E-3</v>
      </c>
      <c r="E71">
        <v>0.13494</v>
      </c>
      <c r="F71">
        <f t="shared" si="137"/>
        <v>0.86505999999999994</v>
      </c>
      <c r="G71" s="34">
        <f t="shared" ref="G71:G95" si="146">F71*G70</f>
        <v>0.18583618242963976</v>
      </c>
      <c r="H71" s="34"/>
      <c r="I71">
        <v>780.92972847018325</v>
      </c>
      <c r="J71">
        <v>86</v>
      </c>
      <c r="K71" s="38">
        <f t="shared" ref="K71:K95" si="147">1000*((K70/1000-$C$5*E70)/($C$5*F70))</f>
        <v>780.92972847019212</v>
      </c>
      <c r="L71" s="22">
        <f t="shared" si="138"/>
        <v>574.94340809779146</v>
      </c>
      <c r="M71" s="23">
        <f t="shared" si="143"/>
        <v>439.52824054796787</v>
      </c>
      <c r="T71" s="59">
        <v>746.74</v>
      </c>
      <c r="U71">
        <v>0.13494</v>
      </c>
      <c r="V71">
        <v>4.1666666666666664E-2</v>
      </c>
      <c r="W71">
        <v>3.9210560847676823E-2</v>
      </c>
      <c r="Z71">
        <f t="shared" si="10"/>
        <v>0.11369</v>
      </c>
      <c r="AA71">
        <f t="shared" si="11"/>
        <v>0.88631000000000004</v>
      </c>
      <c r="AB71" s="34">
        <f t="shared" si="15"/>
        <v>0.24520278975272125</v>
      </c>
      <c r="AC71">
        <f t="shared" ref="AC71:CN71" si="148">AB72/AB$3</f>
        <v>0.2150461136272927</v>
      </c>
      <c r="AD71">
        <f t="shared" si="148"/>
        <v>0.18622518975556671</v>
      </c>
      <c r="AE71">
        <f t="shared" si="148"/>
        <v>0.15904552170624842</v>
      </c>
      <c r="AF71">
        <f t="shared" si="148"/>
        <v>0.13377962786185674</v>
      </c>
      <c r="AG71">
        <f t="shared" si="148"/>
        <v>0.11066600340487688</v>
      </c>
      <c r="AH71">
        <f t="shared" si="148"/>
        <v>8.9885241937301769E-2</v>
      </c>
      <c r="AI71">
        <f t="shared" si="148"/>
        <v>7.155593534497863E-2</v>
      </c>
      <c r="AJ71">
        <f t="shared" si="148"/>
        <v>5.5725312261157574E-2</v>
      </c>
      <c r="AK71">
        <f t="shared" si="148"/>
        <v>4.2362197003770405E-2</v>
      </c>
      <c r="AL71">
        <f t="shared" si="148"/>
        <v>3.1362891200129542E-2</v>
      </c>
      <c r="AM71">
        <f t="shared" si="148"/>
        <v>2.25558890521508E-2</v>
      </c>
      <c r="AN71">
        <f t="shared" si="148"/>
        <v>1.5714048247902616E-2</v>
      </c>
      <c r="AO71">
        <f t="shared" si="148"/>
        <v>1.0572470846625534E-2</v>
      </c>
      <c r="AP71">
        <f t="shared" si="148"/>
        <v>6.8463000323165909E-3</v>
      </c>
      <c r="AQ71">
        <f t="shared" si="148"/>
        <v>4.2514144474800342E-3</v>
      </c>
      <c r="AR71">
        <f t="shared" si="148"/>
        <v>2.5213951875013609E-3</v>
      </c>
      <c r="AS71">
        <f t="shared" si="148"/>
        <v>1.4218823280928842E-3</v>
      </c>
      <c r="AT71">
        <f t="shared" si="148"/>
        <v>7.5872582754016229E-4</v>
      </c>
      <c r="AU71">
        <f t="shared" si="148"/>
        <v>3.8105519096995365E-4</v>
      </c>
      <c r="AV71">
        <f t="shared" si="148"/>
        <v>1.7907378094188557E-4</v>
      </c>
      <c r="AW71">
        <f t="shared" si="148"/>
        <v>7.8241749156844997E-5</v>
      </c>
      <c r="AX71">
        <f t="shared" si="148"/>
        <v>3.1560534651670324E-5</v>
      </c>
      <c r="AY71">
        <f t="shared" si="148"/>
        <v>1.1662960016341573E-5</v>
      </c>
      <c r="AZ71">
        <f t="shared" si="148"/>
        <v>3.9153119465632485E-6</v>
      </c>
      <c r="BA71">
        <f t="shared" si="148"/>
        <v>1.1834083313780041E-6</v>
      </c>
      <c r="BB71">
        <f t="shared" si="148"/>
        <v>3.185816023015905E-7</v>
      </c>
      <c r="BC71">
        <f t="shared" si="148"/>
        <v>0</v>
      </c>
      <c r="BD71">
        <f t="shared" si="148"/>
        <v>0</v>
      </c>
      <c r="BE71">
        <f t="shared" si="148"/>
        <v>0</v>
      </c>
      <c r="BF71">
        <f t="shared" si="148"/>
        <v>0</v>
      </c>
      <c r="BG71">
        <f t="shared" si="148"/>
        <v>0</v>
      </c>
      <c r="BH71">
        <f t="shared" si="148"/>
        <v>0</v>
      </c>
      <c r="BI71">
        <f t="shared" si="148"/>
        <v>0</v>
      </c>
      <c r="BJ71">
        <f t="shared" si="148"/>
        <v>0</v>
      </c>
      <c r="BK71">
        <f t="shared" si="148"/>
        <v>0</v>
      </c>
      <c r="BL71">
        <f t="shared" si="148"/>
        <v>0</v>
      </c>
      <c r="BM71">
        <f t="shared" si="148"/>
        <v>0</v>
      </c>
      <c r="BN71">
        <f t="shared" si="148"/>
        <v>0</v>
      </c>
      <c r="BO71">
        <f t="shared" si="148"/>
        <v>0</v>
      </c>
      <c r="BP71">
        <f t="shared" si="148"/>
        <v>0</v>
      </c>
      <c r="BQ71">
        <f t="shared" si="148"/>
        <v>0</v>
      </c>
      <c r="BR71">
        <f t="shared" si="148"/>
        <v>0</v>
      </c>
      <c r="BS71">
        <f t="shared" si="148"/>
        <v>0</v>
      </c>
      <c r="BT71">
        <f t="shared" si="148"/>
        <v>0</v>
      </c>
      <c r="BU71">
        <f t="shared" si="148"/>
        <v>0</v>
      </c>
      <c r="BV71">
        <f t="shared" si="148"/>
        <v>0</v>
      </c>
      <c r="BW71">
        <f t="shared" si="148"/>
        <v>0</v>
      </c>
      <c r="BX71">
        <f t="shared" si="148"/>
        <v>0</v>
      </c>
      <c r="BY71">
        <f t="shared" si="148"/>
        <v>0</v>
      </c>
      <c r="BZ71">
        <f t="shared" si="148"/>
        <v>0</v>
      </c>
      <c r="CA71">
        <f t="shared" si="148"/>
        <v>0</v>
      </c>
      <c r="CB71">
        <f t="shared" si="148"/>
        <v>0</v>
      </c>
      <c r="CC71">
        <f t="shared" si="148"/>
        <v>0</v>
      </c>
      <c r="CD71">
        <f t="shared" si="148"/>
        <v>0</v>
      </c>
      <c r="CE71">
        <f t="shared" si="148"/>
        <v>0</v>
      </c>
      <c r="CF71">
        <f t="shared" si="148"/>
        <v>0</v>
      </c>
      <c r="CG71">
        <f t="shared" si="148"/>
        <v>0</v>
      </c>
      <c r="CH71">
        <f t="shared" si="148"/>
        <v>0</v>
      </c>
      <c r="CI71">
        <f t="shared" si="148"/>
        <v>0</v>
      </c>
      <c r="CJ71">
        <f t="shared" si="148"/>
        <v>0</v>
      </c>
      <c r="CK71">
        <f t="shared" si="148"/>
        <v>0</v>
      </c>
      <c r="CL71">
        <f t="shared" si="148"/>
        <v>0</v>
      </c>
      <c r="CM71">
        <f t="shared" si="148"/>
        <v>0</v>
      </c>
      <c r="CN71">
        <f t="shared" si="148"/>
        <v>0</v>
      </c>
      <c r="CO71">
        <f t="shared" ref="CO71:DN71" si="149">CN72/CN$3</f>
        <v>0</v>
      </c>
      <c r="CP71">
        <f t="shared" si="149"/>
        <v>0</v>
      </c>
      <c r="CQ71">
        <f t="shared" si="149"/>
        <v>0</v>
      </c>
      <c r="CR71">
        <f t="shared" si="149"/>
        <v>0</v>
      </c>
      <c r="CS71">
        <f t="shared" si="149"/>
        <v>0</v>
      </c>
      <c r="CT71">
        <f t="shared" si="149"/>
        <v>0</v>
      </c>
      <c r="CU71">
        <f t="shared" si="149"/>
        <v>0</v>
      </c>
      <c r="CV71">
        <f t="shared" si="149"/>
        <v>0</v>
      </c>
      <c r="CW71">
        <f t="shared" si="149"/>
        <v>0</v>
      </c>
      <c r="CX71">
        <f t="shared" si="149"/>
        <v>0</v>
      </c>
      <c r="CY71">
        <f t="shared" si="149"/>
        <v>0</v>
      </c>
      <c r="CZ71">
        <f t="shared" si="149"/>
        <v>0</v>
      </c>
      <c r="DA71">
        <f t="shared" si="149"/>
        <v>0</v>
      </c>
      <c r="DB71">
        <f t="shared" si="149"/>
        <v>0</v>
      </c>
      <c r="DC71">
        <f t="shared" si="149"/>
        <v>0</v>
      </c>
      <c r="DD71">
        <f t="shared" si="149"/>
        <v>0</v>
      </c>
      <c r="DE71">
        <f t="shared" si="149"/>
        <v>0</v>
      </c>
      <c r="DF71">
        <f t="shared" si="149"/>
        <v>0</v>
      </c>
      <c r="DG71">
        <f t="shared" si="149"/>
        <v>0</v>
      </c>
      <c r="DH71">
        <f t="shared" si="149"/>
        <v>0</v>
      </c>
      <c r="DI71">
        <f t="shared" si="149"/>
        <v>0</v>
      </c>
      <c r="DJ71">
        <f t="shared" si="149"/>
        <v>0</v>
      </c>
      <c r="DK71">
        <f t="shared" si="149"/>
        <v>0</v>
      </c>
      <c r="DL71">
        <f t="shared" si="149"/>
        <v>0</v>
      </c>
      <c r="DM71">
        <f t="shared" si="149"/>
        <v>0</v>
      </c>
      <c r="DN71">
        <f t="shared" si="149"/>
        <v>0</v>
      </c>
    </row>
    <row r="72" spans="1:118" x14ac:dyDescent="0.2">
      <c r="A72">
        <v>68</v>
      </c>
      <c r="B72">
        <v>87</v>
      </c>
      <c r="C72">
        <f t="shared" si="141"/>
        <v>3.6234949738448735E-2</v>
      </c>
      <c r="D72">
        <f t="shared" si="142"/>
        <v>1.312971582547906E-3</v>
      </c>
      <c r="E72">
        <v>0.14688999999999999</v>
      </c>
      <c r="F72">
        <f t="shared" si="137"/>
        <v>0.85311000000000003</v>
      </c>
      <c r="G72" s="34">
        <f t="shared" si="146"/>
        <v>0.15853870559254998</v>
      </c>
      <c r="H72" s="34"/>
      <c r="I72">
        <v>791.89445228503484</v>
      </c>
      <c r="J72">
        <v>87</v>
      </c>
      <c r="K72" s="38">
        <f t="shared" si="147"/>
        <v>791.89445228504599</v>
      </c>
      <c r="L72" s="22">
        <f t="shared" si="138"/>
        <v>586.45973408975408</v>
      </c>
      <c r="M72" s="23">
        <f t="shared" si="143"/>
        <v>439.52824054796787</v>
      </c>
      <c r="T72" s="60">
        <v>759.03</v>
      </c>
      <c r="U72">
        <v>0.14688999999999999</v>
      </c>
      <c r="V72">
        <v>4.3478260869565216E-2</v>
      </c>
      <c r="W72">
        <v>3.9210560847676823E-2</v>
      </c>
      <c r="Z72">
        <f t="shared" ref="Z72:Z97" si="150">E70</f>
        <v>0.12389</v>
      </c>
      <c r="AA72">
        <f t="shared" ref="AA72:AA97" si="151">F70</f>
        <v>0.87610999999999994</v>
      </c>
      <c r="AB72" s="34">
        <f t="shared" si="15"/>
        <v>0.21482461613025661</v>
      </c>
      <c r="AC72">
        <f t="shared" ref="AC72:CN72" si="152">AB73/AB$3</f>
        <v>0.18602779105442582</v>
      </c>
      <c r="AD72">
        <f t="shared" si="152"/>
        <v>0.15887057163237153</v>
      </c>
      <c r="AE72">
        <f t="shared" si="152"/>
        <v>0.13362845688237285</v>
      </c>
      <c r="AF72">
        <f t="shared" si="152"/>
        <v>0.11053541752085913</v>
      </c>
      <c r="AG72">
        <f t="shared" si="152"/>
        <v>8.9775581942138263E-2</v>
      </c>
      <c r="AH72">
        <f t="shared" si="152"/>
        <v>7.1465059307090503E-2</v>
      </c>
      <c r="AI72">
        <f t="shared" si="152"/>
        <v>5.565119759585023E-2</v>
      </c>
      <c r="AJ72">
        <f t="shared" si="152"/>
        <v>4.2303313549935162E-2</v>
      </c>
      <c r="AK72">
        <f t="shared" si="152"/>
        <v>3.1317101378977349E-2</v>
      </c>
      <c r="AL72">
        <f t="shared" si="152"/>
        <v>2.2521378541901008E-2</v>
      </c>
      <c r="AM72">
        <f t="shared" si="152"/>
        <v>1.5688748630223494E-2</v>
      </c>
      <c r="AN72">
        <f t="shared" si="152"/>
        <v>1.0554497646186271E-2</v>
      </c>
      <c r="AO72">
        <f t="shared" si="152"/>
        <v>6.8340451552587446E-3</v>
      </c>
      <c r="AP72">
        <f t="shared" si="152"/>
        <v>4.2433367600298224E-3</v>
      </c>
      <c r="AQ72">
        <f t="shared" si="152"/>
        <v>2.516327183174483E-3</v>
      </c>
      <c r="AR72">
        <f t="shared" si="152"/>
        <v>1.4188394999107654E-3</v>
      </c>
      <c r="AS72">
        <f t="shared" si="152"/>
        <v>7.5699593265337076E-4</v>
      </c>
      <c r="AT72">
        <f t="shared" si="152"/>
        <v>3.8012922685589664E-4</v>
      </c>
      <c r="AU72">
        <f t="shared" si="152"/>
        <v>1.7860818911143666E-4</v>
      </c>
      <c r="AV72">
        <f t="shared" si="152"/>
        <v>7.8024237094188965E-5</v>
      </c>
      <c r="AW72">
        <f t="shared" si="152"/>
        <v>3.146648425840835E-5</v>
      </c>
      <c r="AX72">
        <f t="shared" si="152"/>
        <v>1.1625638544289281E-5</v>
      </c>
      <c r="AY72">
        <f t="shared" si="152"/>
        <v>3.9018432734670711E-6</v>
      </c>
      <c r="AZ72">
        <f t="shared" si="152"/>
        <v>1.1790178864685917E-6</v>
      </c>
      <c r="BA72">
        <f t="shared" si="152"/>
        <v>3.1730727589238414E-7</v>
      </c>
      <c r="BB72">
        <f t="shared" si="152"/>
        <v>0</v>
      </c>
      <c r="BC72">
        <f t="shared" si="152"/>
        <v>0</v>
      </c>
      <c r="BD72">
        <f t="shared" si="152"/>
        <v>0</v>
      </c>
      <c r="BE72">
        <f t="shared" si="152"/>
        <v>0</v>
      </c>
      <c r="BF72">
        <f t="shared" si="152"/>
        <v>0</v>
      </c>
      <c r="BG72">
        <f t="shared" si="152"/>
        <v>0</v>
      </c>
      <c r="BH72">
        <f t="shared" si="152"/>
        <v>0</v>
      </c>
      <c r="BI72">
        <f t="shared" si="152"/>
        <v>0</v>
      </c>
      <c r="BJ72">
        <f t="shared" si="152"/>
        <v>0</v>
      </c>
      <c r="BK72">
        <f t="shared" si="152"/>
        <v>0</v>
      </c>
      <c r="BL72">
        <f t="shared" si="152"/>
        <v>0</v>
      </c>
      <c r="BM72">
        <f t="shared" si="152"/>
        <v>0</v>
      </c>
      <c r="BN72">
        <f t="shared" si="152"/>
        <v>0</v>
      </c>
      <c r="BO72">
        <f t="shared" si="152"/>
        <v>0</v>
      </c>
      <c r="BP72">
        <f t="shared" si="152"/>
        <v>0</v>
      </c>
      <c r="BQ72">
        <f t="shared" si="152"/>
        <v>0</v>
      </c>
      <c r="BR72">
        <f t="shared" si="152"/>
        <v>0</v>
      </c>
      <c r="BS72">
        <f t="shared" si="152"/>
        <v>0</v>
      </c>
      <c r="BT72">
        <f t="shared" si="152"/>
        <v>0</v>
      </c>
      <c r="BU72">
        <f t="shared" si="152"/>
        <v>0</v>
      </c>
      <c r="BV72">
        <f t="shared" si="152"/>
        <v>0</v>
      </c>
      <c r="BW72">
        <f t="shared" si="152"/>
        <v>0</v>
      </c>
      <c r="BX72">
        <f t="shared" si="152"/>
        <v>0</v>
      </c>
      <c r="BY72">
        <f t="shared" si="152"/>
        <v>0</v>
      </c>
      <c r="BZ72">
        <f t="shared" si="152"/>
        <v>0</v>
      </c>
      <c r="CA72">
        <f t="shared" si="152"/>
        <v>0</v>
      </c>
      <c r="CB72">
        <f t="shared" si="152"/>
        <v>0</v>
      </c>
      <c r="CC72">
        <f t="shared" si="152"/>
        <v>0</v>
      </c>
      <c r="CD72">
        <f t="shared" si="152"/>
        <v>0</v>
      </c>
      <c r="CE72">
        <f t="shared" si="152"/>
        <v>0</v>
      </c>
      <c r="CF72">
        <f t="shared" si="152"/>
        <v>0</v>
      </c>
      <c r="CG72">
        <f t="shared" si="152"/>
        <v>0</v>
      </c>
      <c r="CH72">
        <f t="shared" si="152"/>
        <v>0</v>
      </c>
      <c r="CI72">
        <f t="shared" si="152"/>
        <v>0</v>
      </c>
      <c r="CJ72">
        <f t="shared" si="152"/>
        <v>0</v>
      </c>
      <c r="CK72">
        <f t="shared" si="152"/>
        <v>0</v>
      </c>
      <c r="CL72">
        <f t="shared" si="152"/>
        <v>0</v>
      </c>
      <c r="CM72">
        <f t="shared" si="152"/>
        <v>0</v>
      </c>
      <c r="CN72">
        <f t="shared" si="152"/>
        <v>0</v>
      </c>
      <c r="CO72">
        <f t="shared" ref="CO72:DN72" si="153">CN73/CN$3</f>
        <v>0</v>
      </c>
      <c r="CP72">
        <f t="shared" si="153"/>
        <v>0</v>
      </c>
      <c r="CQ72">
        <f t="shared" si="153"/>
        <v>0</v>
      </c>
      <c r="CR72">
        <f t="shared" si="153"/>
        <v>0</v>
      </c>
      <c r="CS72">
        <f t="shared" si="153"/>
        <v>0</v>
      </c>
      <c r="CT72">
        <f t="shared" si="153"/>
        <v>0</v>
      </c>
      <c r="CU72">
        <f t="shared" si="153"/>
        <v>0</v>
      </c>
      <c r="CV72">
        <f t="shared" si="153"/>
        <v>0</v>
      </c>
      <c r="CW72">
        <f t="shared" si="153"/>
        <v>0</v>
      </c>
      <c r="CX72">
        <f t="shared" si="153"/>
        <v>0</v>
      </c>
      <c r="CY72">
        <f t="shared" si="153"/>
        <v>0</v>
      </c>
      <c r="CZ72">
        <f t="shared" si="153"/>
        <v>0</v>
      </c>
      <c r="DA72">
        <f t="shared" si="153"/>
        <v>0</v>
      </c>
      <c r="DB72">
        <f t="shared" si="153"/>
        <v>0</v>
      </c>
      <c r="DC72">
        <f t="shared" si="153"/>
        <v>0</v>
      </c>
      <c r="DD72">
        <f t="shared" si="153"/>
        <v>0</v>
      </c>
      <c r="DE72">
        <f t="shared" si="153"/>
        <v>0</v>
      </c>
      <c r="DF72">
        <f t="shared" si="153"/>
        <v>0</v>
      </c>
      <c r="DG72">
        <f t="shared" si="153"/>
        <v>0</v>
      </c>
      <c r="DH72">
        <f t="shared" si="153"/>
        <v>0</v>
      </c>
      <c r="DI72">
        <f t="shared" si="153"/>
        <v>0</v>
      </c>
      <c r="DJ72">
        <f t="shared" si="153"/>
        <v>0</v>
      </c>
      <c r="DK72">
        <f t="shared" si="153"/>
        <v>0</v>
      </c>
      <c r="DL72">
        <f t="shared" si="153"/>
        <v>0</v>
      </c>
      <c r="DM72">
        <f t="shared" si="153"/>
        <v>0</v>
      </c>
      <c r="DN72">
        <f t="shared" si="153"/>
        <v>0</v>
      </c>
    </row>
    <row r="73" spans="1:118" x14ac:dyDescent="0.2">
      <c r="A73">
        <v>69</v>
      </c>
      <c r="B73">
        <v>88</v>
      </c>
      <c r="C73">
        <f t="shared" si="141"/>
        <v>3.4509475941379743E-2</v>
      </c>
      <c r="D73">
        <f t="shared" si="142"/>
        <v>1.1909039297486673E-3</v>
      </c>
      <c r="E73">
        <v>0.15981000000000001</v>
      </c>
      <c r="F73">
        <f t="shared" si="137"/>
        <v>0.84018999999999999</v>
      </c>
      <c r="G73" s="34">
        <f t="shared" si="146"/>
        <v>0.13320263505180457</v>
      </c>
      <c r="H73" s="34"/>
      <c r="I73">
        <v>802.47468075545555</v>
      </c>
      <c r="J73">
        <v>88</v>
      </c>
      <c r="K73" s="38">
        <f t="shared" si="147"/>
        <v>802.47468075546908</v>
      </c>
      <c r="L73" s="22">
        <f t="shared" si="138"/>
        <v>598.3182990121619</v>
      </c>
      <c r="M73" s="23">
        <f t="shared" si="143"/>
        <v>439.52824054796787</v>
      </c>
      <c r="T73" s="60">
        <v>770.92</v>
      </c>
      <c r="U73">
        <v>0.15981000000000001</v>
      </c>
      <c r="V73">
        <v>4.5454545454545456E-2</v>
      </c>
      <c r="W73">
        <v>3.9210560847676823E-2</v>
      </c>
      <c r="Z73">
        <f t="shared" si="150"/>
        <v>0.13494</v>
      </c>
      <c r="AA73">
        <f t="shared" si="151"/>
        <v>0.86505999999999994</v>
      </c>
      <c r="AB73" s="34">
        <f t="shared" ref="AB73:AB97" si="154">AA73*AB72</f>
        <v>0.18583618242963976</v>
      </c>
      <c r="AC73">
        <f t="shared" ref="AC73:CN73" si="155">AB74/AB$3</f>
        <v>0.15870216882644123</v>
      </c>
      <c r="AD73">
        <f t="shared" si="155"/>
        <v>0.13348146557980223</v>
      </c>
      <c r="AE73">
        <f t="shared" si="155"/>
        <v>0.11041051249906056</v>
      </c>
      <c r="AF73">
        <f t="shared" si="155"/>
        <v>8.9669646755446544E-2</v>
      </c>
      <c r="AG73">
        <f t="shared" si="155"/>
        <v>7.1377871934735854E-2</v>
      </c>
      <c r="AH73">
        <f t="shared" si="155"/>
        <v>5.5580520574903501E-2</v>
      </c>
      <c r="AI73">
        <f t="shared" si="155"/>
        <v>4.2247050142913745E-2</v>
      </c>
      <c r="AJ73">
        <f t="shared" si="155"/>
        <v>3.1273570608060568E-2</v>
      </c>
      <c r="AK73">
        <f t="shared" si="155"/>
        <v>2.2488497329229834E-2</v>
      </c>
      <c r="AL73">
        <f t="shared" si="155"/>
        <v>1.5664744844819251E-2</v>
      </c>
      <c r="AM73">
        <f t="shared" si="155"/>
        <v>1.0537504904975912E-2</v>
      </c>
      <c r="AN73">
        <f t="shared" si="155"/>
        <v>6.8224272784948043E-3</v>
      </c>
      <c r="AO73">
        <f t="shared" si="155"/>
        <v>4.2357411872293695E-3</v>
      </c>
      <c r="AP73">
        <f t="shared" si="155"/>
        <v>2.5115461615264514E-3</v>
      </c>
      <c r="AQ73">
        <f t="shared" si="155"/>
        <v>1.4159876325159448E-3</v>
      </c>
      <c r="AR73">
        <f t="shared" si="155"/>
        <v>7.553759613574925E-4</v>
      </c>
      <c r="AS73">
        <f t="shared" si="155"/>
        <v>3.7926253221866519E-4</v>
      </c>
      <c r="AT73">
        <f t="shared" si="155"/>
        <v>1.7817417121189586E-4</v>
      </c>
      <c r="AU73">
        <f t="shared" si="155"/>
        <v>7.7821374077744067E-5</v>
      </c>
      <c r="AV73">
        <f t="shared" si="155"/>
        <v>3.1379007432169977E-5</v>
      </c>
      <c r="AW73">
        <f t="shared" si="155"/>
        <v>1.1590994141427299E-5</v>
      </c>
      <c r="AX73">
        <f t="shared" si="155"/>
        <v>3.8893573749919765E-6</v>
      </c>
      <c r="AY73">
        <f t="shared" si="155"/>
        <v>1.1749620649391397E-6</v>
      </c>
      <c r="AZ73">
        <f t="shared" si="155"/>
        <v>3.1613006589882338E-7</v>
      </c>
      <c r="BA73">
        <f t="shared" si="155"/>
        <v>0</v>
      </c>
      <c r="BB73">
        <f t="shared" si="155"/>
        <v>0</v>
      </c>
      <c r="BC73">
        <f t="shared" si="155"/>
        <v>0</v>
      </c>
      <c r="BD73">
        <f t="shared" si="155"/>
        <v>0</v>
      </c>
      <c r="BE73">
        <f t="shared" si="155"/>
        <v>0</v>
      </c>
      <c r="BF73">
        <f t="shared" si="155"/>
        <v>0</v>
      </c>
      <c r="BG73">
        <f t="shared" si="155"/>
        <v>0</v>
      </c>
      <c r="BH73">
        <f t="shared" si="155"/>
        <v>0</v>
      </c>
      <c r="BI73">
        <f t="shared" si="155"/>
        <v>0</v>
      </c>
      <c r="BJ73">
        <f t="shared" si="155"/>
        <v>0</v>
      </c>
      <c r="BK73">
        <f t="shared" si="155"/>
        <v>0</v>
      </c>
      <c r="BL73">
        <f t="shared" si="155"/>
        <v>0</v>
      </c>
      <c r="BM73">
        <f t="shared" si="155"/>
        <v>0</v>
      </c>
      <c r="BN73">
        <f t="shared" si="155"/>
        <v>0</v>
      </c>
      <c r="BO73">
        <f t="shared" si="155"/>
        <v>0</v>
      </c>
      <c r="BP73">
        <f t="shared" si="155"/>
        <v>0</v>
      </c>
      <c r="BQ73">
        <f t="shared" si="155"/>
        <v>0</v>
      </c>
      <c r="BR73">
        <f t="shared" si="155"/>
        <v>0</v>
      </c>
      <c r="BS73">
        <f t="shared" si="155"/>
        <v>0</v>
      </c>
      <c r="BT73">
        <f t="shared" si="155"/>
        <v>0</v>
      </c>
      <c r="BU73">
        <f t="shared" si="155"/>
        <v>0</v>
      </c>
      <c r="BV73">
        <f t="shared" si="155"/>
        <v>0</v>
      </c>
      <c r="BW73">
        <f t="shared" si="155"/>
        <v>0</v>
      </c>
      <c r="BX73">
        <f t="shared" si="155"/>
        <v>0</v>
      </c>
      <c r="BY73">
        <f t="shared" si="155"/>
        <v>0</v>
      </c>
      <c r="BZ73">
        <f t="shared" si="155"/>
        <v>0</v>
      </c>
      <c r="CA73">
        <f t="shared" si="155"/>
        <v>0</v>
      </c>
      <c r="CB73">
        <f t="shared" si="155"/>
        <v>0</v>
      </c>
      <c r="CC73">
        <f t="shared" si="155"/>
        <v>0</v>
      </c>
      <c r="CD73">
        <f t="shared" si="155"/>
        <v>0</v>
      </c>
      <c r="CE73">
        <f t="shared" si="155"/>
        <v>0</v>
      </c>
      <c r="CF73">
        <f t="shared" si="155"/>
        <v>0</v>
      </c>
      <c r="CG73">
        <f t="shared" si="155"/>
        <v>0</v>
      </c>
      <c r="CH73">
        <f t="shared" si="155"/>
        <v>0</v>
      </c>
      <c r="CI73">
        <f t="shared" si="155"/>
        <v>0</v>
      </c>
      <c r="CJ73">
        <f t="shared" si="155"/>
        <v>0</v>
      </c>
      <c r="CK73">
        <f t="shared" si="155"/>
        <v>0</v>
      </c>
      <c r="CL73">
        <f t="shared" si="155"/>
        <v>0</v>
      </c>
      <c r="CM73">
        <f t="shared" si="155"/>
        <v>0</v>
      </c>
      <c r="CN73">
        <f t="shared" si="155"/>
        <v>0</v>
      </c>
      <c r="CO73">
        <f t="shared" ref="CO73:DN73" si="156">CN74/CN$3</f>
        <v>0</v>
      </c>
      <c r="CP73">
        <f t="shared" si="156"/>
        <v>0</v>
      </c>
      <c r="CQ73">
        <f t="shared" si="156"/>
        <v>0</v>
      </c>
      <c r="CR73">
        <f t="shared" si="156"/>
        <v>0</v>
      </c>
      <c r="CS73">
        <f t="shared" si="156"/>
        <v>0</v>
      </c>
      <c r="CT73">
        <f t="shared" si="156"/>
        <v>0</v>
      </c>
      <c r="CU73">
        <f t="shared" si="156"/>
        <v>0</v>
      </c>
      <c r="CV73">
        <f t="shared" si="156"/>
        <v>0</v>
      </c>
      <c r="CW73">
        <f t="shared" si="156"/>
        <v>0</v>
      </c>
      <c r="CX73">
        <f t="shared" si="156"/>
        <v>0</v>
      </c>
      <c r="CY73">
        <f t="shared" si="156"/>
        <v>0</v>
      </c>
      <c r="CZ73">
        <f t="shared" si="156"/>
        <v>0</v>
      </c>
      <c r="DA73">
        <f t="shared" si="156"/>
        <v>0</v>
      </c>
      <c r="DB73">
        <f t="shared" si="156"/>
        <v>0</v>
      </c>
      <c r="DC73">
        <f t="shared" si="156"/>
        <v>0</v>
      </c>
      <c r="DD73">
        <f t="shared" si="156"/>
        <v>0</v>
      </c>
      <c r="DE73">
        <f t="shared" si="156"/>
        <v>0</v>
      </c>
      <c r="DF73">
        <f t="shared" si="156"/>
        <v>0</v>
      </c>
      <c r="DG73">
        <f t="shared" si="156"/>
        <v>0</v>
      </c>
      <c r="DH73">
        <f t="shared" si="156"/>
        <v>0</v>
      </c>
      <c r="DI73">
        <f t="shared" si="156"/>
        <v>0</v>
      </c>
      <c r="DJ73">
        <f t="shared" si="156"/>
        <v>0</v>
      </c>
      <c r="DK73">
        <f t="shared" si="156"/>
        <v>0</v>
      </c>
      <c r="DL73">
        <f t="shared" si="156"/>
        <v>0</v>
      </c>
      <c r="DM73">
        <f t="shared" si="156"/>
        <v>0</v>
      </c>
      <c r="DN73">
        <f t="shared" si="156"/>
        <v>0</v>
      </c>
    </row>
    <row r="74" spans="1:118" x14ac:dyDescent="0.2">
      <c r="A74">
        <v>70</v>
      </c>
      <c r="B74">
        <v>89</v>
      </c>
      <c r="C74">
        <f t="shared" si="141"/>
        <v>3.2866167563218807E-2</v>
      </c>
      <c r="D74">
        <f t="shared" si="142"/>
        <v>1.080184970293576E-3</v>
      </c>
      <c r="E74">
        <v>0.17374999999999999</v>
      </c>
      <c r="F74">
        <f t="shared" si="137"/>
        <v>0.82625000000000004</v>
      </c>
      <c r="G74" s="34">
        <f t="shared" si="146"/>
        <v>0.11005867721155353</v>
      </c>
      <c r="H74" s="34"/>
      <c r="I74">
        <v>812.65953509709539</v>
      </c>
      <c r="J74">
        <v>89</v>
      </c>
      <c r="K74" s="38">
        <f t="shared" si="147"/>
        <v>812.6595350971121</v>
      </c>
      <c r="L74" s="22">
        <f t="shared" si="138"/>
        <v>610.53108129433053</v>
      </c>
      <c r="M74" s="23">
        <f t="shared" si="143"/>
        <v>439.52824054796787</v>
      </c>
      <c r="T74" s="60">
        <v>782.41</v>
      </c>
      <c r="U74">
        <v>0.17374999999999999</v>
      </c>
      <c r="V74">
        <v>4.7619047619047616E-2</v>
      </c>
      <c r="W74">
        <v>3.9210560847676823E-2</v>
      </c>
      <c r="Z74">
        <f t="shared" si="150"/>
        <v>0.14688999999999999</v>
      </c>
      <c r="AA74">
        <f t="shared" si="151"/>
        <v>0.85311000000000003</v>
      </c>
      <c r="AB74" s="34">
        <f t="shared" si="154"/>
        <v>0.15853870559254998</v>
      </c>
      <c r="AC74">
        <f t="shared" ref="AC74:CN74" si="157">AB75/AB$3</f>
        <v>0.13333997522628765</v>
      </c>
      <c r="AD74">
        <f t="shared" si="157"/>
        <v>0.1102890609353116</v>
      </c>
      <c r="AE74">
        <f t="shared" si="157"/>
        <v>8.956832005461289E-2</v>
      </c>
      <c r="AF74">
        <f t="shared" si="157"/>
        <v>7.1293646045852865E-2</v>
      </c>
      <c r="AG74">
        <f t="shared" si="157"/>
        <v>5.5512712339802116E-2</v>
      </c>
      <c r="AH74">
        <f t="shared" si="157"/>
        <v>4.2193396389232245E-2</v>
      </c>
      <c r="AI74">
        <f t="shared" si="157"/>
        <v>3.1231976759151844E-2</v>
      </c>
      <c r="AJ74">
        <f t="shared" si="157"/>
        <v>2.2457238317942205E-2</v>
      </c>
      <c r="AK74">
        <f t="shared" si="157"/>
        <v>1.5641874317345813E-2</v>
      </c>
      <c r="AL74">
        <f t="shared" si="157"/>
        <v>1.0521382522471298E-2</v>
      </c>
      <c r="AM74">
        <f t="shared" si="157"/>
        <v>6.8114431705764275E-3</v>
      </c>
      <c r="AN74">
        <f t="shared" si="157"/>
        <v>4.2285404272110793E-3</v>
      </c>
      <c r="AO74">
        <f t="shared" si="157"/>
        <v>2.5070504938973191E-3</v>
      </c>
      <c r="AP74">
        <f t="shared" si="157"/>
        <v>1.4132972560141645E-3</v>
      </c>
      <c r="AQ74">
        <f t="shared" si="157"/>
        <v>7.5385765567516393E-4</v>
      </c>
      <c r="AR74">
        <f t="shared" si="157"/>
        <v>3.7845091039971721E-4</v>
      </c>
      <c r="AS74">
        <f t="shared" si="157"/>
        <v>1.7776793410153276E-4</v>
      </c>
      <c r="AT74">
        <f t="shared" si="157"/>
        <v>7.7632268138735152E-5</v>
      </c>
      <c r="AU74">
        <f t="shared" si="157"/>
        <v>3.1297422012846335E-5</v>
      </c>
      <c r="AV74">
        <f t="shared" si="157"/>
        <v>1.155877117771413E-5</v>
      </c>
      <c r="AW74">
        <f t="shared" si="157"/>
        <v>3.8777670900145006E-6</v>
      </c>
      <c r="AX74">
        <f t="shared" si="157"/>
        <v>1.1712021863313345E-6</v>
      </c>
      <c r="AY74">
        <f t="shared" si="157"/>
        <v>3.1504257847213143E-7</v>
      </c>
      <c r="AZ74">
        <f t="shared" si="157"/>
        <v>0</v>
      </c>
      <c r="BA74">
        <f t="shared" si="157"/>
        <v>0</v>
      </c>
      <c r="BB74">
        <f t="shared" si="157"/>
        <v>0</v>
      </c>
      <c r="BC74">
        <f t="shared" si="157"/>
        <v>0</v>
      </c>
      <c r="BD74">
        <f t="shared" si="157"/>
        <v>0</v>
      </c>
      <c r="BE74">
        <f t="shared" si="157"/>
        <v>0</v>
      </c>
      <c r="BF74">
        <f t="shared" si="157"/>
        <v>0</v>
      </c>
      <c r="BG74">
        <f t="shared" si="157"/>
        <v>0</v>
      </c>
      <c r="BH74">
        <f t="shared" si="157"/>
        <v>0</v>
      </c>
      <c r="BI74">
        <f t="shared" si="157"/>
        <v>0</v>
      </c>
      <c r="BJ74">
        <f t="shared" si="157"/>
        <v>0</v>
      </c>
      <c r="BK74">
        <f t="shared" si="157"/>
        <v>0</v>
      </c>
      <c r="BL74">
        <f t="shared" si="157"/>
        <v>0</v>
      </c>
      <c r="BM74">
        <f t="shared" si="157"/>
        <v>0</v>
      </c>
      <c r="BN74">
        <f t="shared" si="157"/>
        <v>0</v>
      </c>
      <c r="BO74">
        <f t="shared" si="157"/>
        <v>0</v>
      </c>
      <c r="BP74">
        <f t="shared" si="157"/>
        <v>0</v>
      </c>
      <c r="BQ74">
        <f t="shared" si="157"/>
        <v>0</v>
      </c>
      <c r="BR74">
        <f t="shared" si="157"/>
        <v>0</v>
      </c>
      <c r="BS74">
        <f t="shared" si="157"/>
        <v>0</v>
      </c>
      <c r="BT74">
        <f t="shared" si="157"/>
        <v>0</v>
      </c>
      <c r="BU74">
        <f t="shared" si="157"/>
        <v>0</v>
      </c>
      <c r="BV74">
        <f t="shared" si="157"/>
        <v>0</v>
      </c>
      <c r="BW74">
        <f t="shared" si="157"/>
        <v>0</v>
      </c>
      <c r="BX74">
        <f t="shared" si="157"/>
        <v>0</v>
      </c>
      <c r="BY74">
        <f t="shared" si="157"/>
        <v>0</v>
      </c>
      <c r="BZ74">
        <f t="shared" si="157"/>
        <v>0</v>
      </c>
      <c r="CA74">
        <f t="shared" si="157"/>
        <v>0</v>
      </c>
      <c r="CB74">
        <f t="shared" si="157"/>
        <v>0</v>
      </c>
      <c r="CC74">
        <f t="shared" si="157"/>
        <v>0</v>
      </c>
      <c r="CD74">
        <f t="shared" si="157"/>
        <v>0</v>
      </c>
      <c r="CE74">
        <f t="shared" si="157"/>
        <v>0</v>
      </c>
      <c r="CF74">
        <f t="shared" si="157"/>
        <v>0</v>
      </c>
      <c r="CG74">
        <f t="shared" si="157"/>
        <v>0</v>
      </c>
      <c r="CH74">
        <f t="shared" si="157"/>
        <v>0</v>
      </c>
      <c r="CI74">
        <f t="shared" si="157"/>
        <v>0</v>
      </c>
      <c r="CJ74">
        <f t="shared" si="157"/>
        <v>0</v>
      </c>
      <c r="CK74">
        <f t="shared" si="157"/>
        <v>0</v>
      </c>
      <c r="CL74">
        <f t="shared" si="157"/>
        <v>0</v>
      </c>
      <c r="CM74">
        <f t="shared" si="157"/>
        <v>0</v>
      </c>
      <c r="CN74">
        <f t="shared" si="157"/>
        <v>0</v>
      </c>
      <c r="CO74">
        <f t="shared" ref="CO74:DN74" si="158">CN75/CN$3</f>
        <v>0</v>
      </c>
      <c r="CP74">
        <f t="shared" si="158"/>
        <v>0</v>
      </c>
      <c r="CQ74">
        <f t="shared" si="158"/>
        <v>0</v>
      </c>
      <c r="CR74">
        <f t="shared" si="158"/>
        <v>0</v>
      </c>
      <c r="CS74">
        <f t="shared" si="158"/>
        <v>0</v>
      </c>
      <c r="CT74">
        <f t="shared" si="158"/>
        <v>0</v>
      </c>
      <c r="CU74">
        <f t="shared" si="158"/>
        <v>0</v>
      </c>
      <c r="CV74">
        <f t="shared" si="158"/>
        <v>0</v>
      </c>
      <c r="CW74">
        <f t="shared" si="158"/>
        <v>0</v>
      </c>
      <c r="CX74">
        <f t="shared" si="158"/>
        <v>0</v>
      </c>
      <c r="CY74">
        <f t="shared" si="158"/>
        <v>0</v>
      </c>
      <c r="CZ74">
        <f t="shared" si="158"/>
        <v>0</v>
      </c>
      <c r="DA74">
        <f t="shared" si="158"/>
        <v>0</v>
      </c>
      <c r="DB74">
        <f t="shared" si="158"/>
        <v>0</v>
      </c>
      <c r="DC74">
        <f t="shared" si="158"/>
        <v>0</v>
      </c>
      <c r="DD74">
        <f t="shared" si="158"/>
        <v>0</v>
      </c>
      <c r="DE74">
        <f t="shared" si="158"/>
        <v>0</v>
      </c>
      <c r="DF74">
        <f t="shared" si="158"/>
        <v>0</v>
      </c>
      <c r="DG74">
        <f t="shared" si="158"/>
        <v>0</v>
      </c>
      <c r="DH74">
        <f t="shared" si="158"/>
        <v>0</v>
      </c>
      <c r="DI74">
        <f t="shared" si="158"/>
        <v>0</v>
      </c>
      <c r="DJ74">
        <f t="shared" si="158"/>
        <v>0</v>
      </c>
      <c r="DK74">
        <f t="shared" si="158"/>
        <v>0</v>
      </c>
      <c r="DL74">
        <f t="shared" si="158"/>
        <v>0</v>
      </c>
      <c r="DM74">
        <f t="shared" si="158"/>
        <v>0</v>
      </c>
      <c r="DN74">
        <f t="shared" si="158"/>
        <v>0</v>
      </c>
    </row>
    <row r="75" spans="1:118" x14ac:dyDescent="0.2">
      <c r="A75">
        <v>71</v>
      </c>
      <c r="B75">
        <v>90</v>
      </c>
      <c r="C75">
        <f t="shared" si="141"/>
        <v>3.1301111964970284E-2</v>
      </c>
      <c r="D75">
        <f t="shared" si="142"/>
        <v>9.7975961024360583E-4</v>
      </c>
      <c r="E75">
        <v>0.18877000000000002</v>
      </c>
      <c r="F75">
        <f t="shared" si="137"/>
        <v>0.81123000000000001</v>
      </c>
      <c r="G75" s="34">
        <f t="shared" si="146"/>
        <v>8.9282900714328567E-2</v>
      </c>
      <c r="H75" s="34"/>
      <c r="I75">
        <v>822.44176926105888</v>
      </c>
      <c r="J75">
        <v>90</v>
      </c>
      <c r="K75" s="38">
        <f t="shared" si="147"/>
        <v>822.44176926108048</v>
      </c>
      <c r="L75" s="22">
        <f t="shared" si="138"/>
        <v>623.1105171269993</v>
      </c>
      <c r="M75" s="23">
        <f t="shared" si="143"/>
        <v>439.52824054796787</v>
      </c>
      <c r="T75" s="58">
        <v>793.46</v>
      </c>
      <c r="U75">
        <v>0.18877000000000002</v>
      </c>
      <c r="V75">
        <v>0.05</v>
      </c>
      <c r="W75">
        <v>3.9210560847676823E-2</v>
      </c>
      <c r="Z75">
        <f t="shared" si="150"/>
        <v>0.15981000000000001</v>
      </c>
      <c r="AA75">
        <f t="shared" si="151"/>
        <v>0.84018999999999999</v>
      </c>
      <c r="AB75" s="34">
        <f t="shared" si="154"/>
        <v>0.13320263505180457</v>
      </c>
      <c r="AC75">
        <f t="shared" ref="AC75:CN75" si="159">AB76/AB$3</f>
        <v>0.11017215453072017</v>
      </c>
      <c r="AD75">
        <f t="shared" si="159"/>
        <v>8.9469794902552816E-2</v>
      </c>
      <c r="AE75">
        <f t="shared" si="159"/>
        <v>7.1213084225821052E-2</v>
      </c>
      <c r="AF75">
        <f t="shared" si="159"/>
        <v>5.5447207339241154E-2</v>
      </c>
      <c r="AG75">
        <f t="shared" si="159"/>
        <v>4.2141920445637381E-2</v>
      </c>
      <c r="AH75">
        <f t="shared" si="159"/>
        <v>3.119231214866772E-2</v>
      </c>
      <c r="AI75">
        <f t="shared" si="159"/>
        <v>2.2427370190979342E-2</v>
      </c>
      <c r="AJ75">
        <f t="shared" si="159"/>
        <v>1.5620132112044703E-2</v>
      </c>
      <c r="AK75">
        <f t="shared" si="159"/>
        <v>1.050602130398849E-2</v>
      </c>
      <c r="AL75">
        <f t="shared" si="159"/>
        <v>6.8010216625254451E-3</v>
      </c>
      <c r="AM75">
        <f t="shared" si="159"/>
        <v>4.2217324771232695E-3</v>
      </c>
      <c r="AN75">
        <f t="shared" si="159"/>
        <v>2.5027885080576937E-3</v>
      </c>
      <c r="AO75">
        <f t="shared" si="159"/>
        <v>1.4107674539258993E-3</v>
      </c>
      <c r="AP75">
        <f t="shared" si="159"/>
        <v>7.5242532612938113E-4</v>
      </c>
      <c r="AQ75">
        <f t="shared" si="159"/>
        <v>3.7769022406981378E-4</v>
      </c>
      <c r="AR75">
        <f t="shared" si="159"/>
        <v>1.7738751072255546E-4</v>
      </c>
      <c r="AS75">
        <f t="shared" si="159"/>
        <v>7.7455266567378844E-5</v>
      </c>
      <c r="AT75">
        <f t="shared" si="159"/>
        <v>3.1221369277355119E-5</v>
      </c>
      <c r="AU75">
        <f t="shared" si="159"/>
        <v>1.1528718372652073E-5</v>
      </c>
      <c r="AV75">
        <f t="shared" si="159"/>
        <v>3.8669868975042605E-6</v>
      </c>
      <c r="AW75">
        <f t="shared" si="159"/>
        <v>1.1677120038160672E-6</v>
      </c>
      <c r="AX75">
        <f t="shared" si="159"/>
        <v>3.1403444222102063E-7</v>
      </c>
      <c r="AY75">
        <f t="shared" si="159"/>
        <v>0</v>
      </c>
      <c r="AZ75">
        <f t="shared" si="159"/>
        <v>0</v>
      </c>
      <c r="BA75">
        <f t="shared" si="159"/>
        <v>0</v>
      </c>
      <c r="BB75">
        <f t="shared" si="159"/>
        <v>0</v>
      </c>
      <c r="BC75">
        <f t="shared" si="159"/>
        <v>0</v>
      </c>
      <c r="BD75">
        <f t="shared" si="159"/>
        <v>0</v>
      </c>
      <c r="BE75">
        <f t="shared" si="159"/>
        <v>0</v>
      </c>
      <c r="BF75">
        <f t="shared" si="159"/>
        <v>0</v>
      </c>
      <c r="BG75">
        <f t="shared" si="159"/>
        <v>0</v>
      </c>
      <c r="BH75">
        <f t="shared" si="159"/>
        <v>0</v>
      </c>
      <c r="BI75">
        <f t="shared" si="159"/>
        <v>0</v>
      </c>
      <c r="BJ75">
        <f t="shared" si="159"/>
        <v>0</v>
      </c>
      <c r="BK75">
        <f t="shared" si="159"/>
        <v>0</v>
      </c>
      <c r="BL75">
        <f t="shared" si="159"/>
        <v>0</v>
      </c>
      <c r="BM75">
        <f t="shared" si="159"/>
        <v>0</v>
      </c>
      <c r="BN75">
        <f t="shared" si="159"/>
        <v>0</v>
      </c>
      <c r="BO75">
        <f t="shared" si="159"/>
        <v>0</v>
      </c>
      <c r="BP75">
        <f t="shared" si="159"/>
        <v>0</v>
      </c>
      <c r="BQ75">
        <f t="shared" si="159"/>
        <v>0</v>
      </c>
      <c r="BR75">
        <f t="shared" si="159"/>
        <v>0</v>
      </c>
      <c r="BS75">
        <f t="shared" si="159"/>
        <v>0</v>
      </c>
      <c r="BT75">
        <f t="shared" si="159"/>
        <v>0</v>
      </c>
      <c r="BU75">
        <f t="shared" si="159"/>
        <v>0</v>
      </c>
      <c r="BV75">
        <f t="shared" si="159"/>
        <v>0</v>
      </c>
      <c r="BW75">
        <f t="shared" si="159"/>
        <v>0</v>
      </c>
      <c r="BX75">
        <f t="shared" si="159"/>
        <v>0</v>
      </c>
      <c r="BY75">
        <f t="shared" si="159"/>
        <v>0</v>
      </c>
      <c r="BZ75">
        <f t="shared" si="159"/>
        <v>0</v>
      </c>
      <c r="CA75">
        <f t="shared" si="159"/>
        <v>0</v>
      </c>
      <c r="CB75">
        <f t="shared" si="159"/>
        <v>0</v>
      </c>
      <c r="CC75">
        <f t="shared" si="159"/>
        <v>0</v>
      </c>
      <c r="CD75">
        <f t="shared" si="159"/>
        <v>0</v>
      </c>
      <c r="CE75">
        <f t="shared" si="159"/>
        <v>0</v>
      </c>
      <c r="CF75">
        <f t="shared" si="159"/>
        <v>0</v>
      </c>
      <c r="CG75">
        <f t="shared" si="159"/>
        <v>0</v>
      </c>
      <c r="CH75">
        <f t="shared" si="159"/>
        <v>0</v>
      </c>
      <c r="CI75">
        <f t="shared" si="159"/>
        <v>0</v>
      </c>
      <c r="CJ75">
        <f t="shared" si="159"/>
        <v>0</v>
      </c>
      <c r="CK75">
        <f t="shared" si="159"/>
        <v>0</v>
      </c>
      <c r="CL75">
        <f t="shared" si="159"/>
        <v>0</v>
      </c>
      <c r="CM75">
        <f t="shared" si="159"/>
        <v>0</v>
      </c>
      <c r="CN75">
        <f t="shared" si="159"/>
        <v>0</v>
      </c>
      <c r="CO75">
        <f t="shared" ref="CO75:DN75" si="160">CN76/CN$3</f>
        <v>0</v>
      </c>
      <c r="CP75">
        <f t="shared" si="160"/>
        <v>0</v>
      </c>
      <c r="CQ75">
        <f t="shared" si="160"/>
        <v>0</v>
      </c>
      <c r="CR75">
        <f t="shared" si="160"/>
        <v>0</v>
      </c>
      <c r="CS75">
        <f t="shared" si="160"/>
        <v>0</v>
      </c>
      <c r="CT75">
        <f t="shared" si="160"/>
        <v>0</v>
      </c>
      <c r="CU75">
        <f t="shared" si="160"/>
        <v>0</v>
      </c>
      <c r="CV75">
        <f t="shared" si="160"/>
        <v>0</v>
      </c>
      <c r="CW75">
        <f t="shared" si="160"/>
        <v>0</v>
      </c>
      <c r="CX75">
        <f t="shared" si="160"/>
        <v>0</v>
      </c>
      <c r="CY75">
        <f t="shared" si="160"/>
        <v>0</v>
      </c>
      <c r="CZ75">
        <f t="shared" si="160"/>
        <v>0</v>
      </c>
      <c r="DA75">
        <f t="shared" si="160"/>
        <v>0</v>
      </c>
      <c r="DB75">
        <f t="shared" si="160"/>
        <v>0</v>
      </c>
      <c r="DC75">
        <f t="shared" si="160"/>
        <v>0</v>
      </c>
      <c r="DD75">
        <f t="shared" si="160"/>
        <v>0</v>
      </c>
      <c r="DE75">
        <f t="shared" si="160"/>
        <v>0</v>
      </c>
      <c r="DF75">
        <f t="shared" si="160"/>
        <v>0</v>
      </c>
      <c r="DG75">
        <f t="shared" si="160"/>
        <v>0</v>
      </c>
      <c r="DH75">
        <f t="shared" si="160"/>
        <v>0</v>
      </c>
      <c r="DI75">
        <f t="shared" si="160"/>
        <v>0</v>
      </c>
      <c r="DJ75">
        <f t="shared" si="160"/>
        <v>0</v>
      </c>
      <c r="DK75">
        <f t="shared" si="160"/>
        <v>0</v>
      </c>
      <c r="DL75">
        <f t="shared" si="160"/>
        <v>0</v>
      </c>
      <c r="DM75">
        <f t="shared" si="160"/>
        <v>0</v>
      </c>
      <c r="DN75">
        <f t="shared" si="160"/>
        <v>0</v>
      </c>
    </row>
    <row r="76" spans="1:118" x14ac:dyDescent="0.2">
      <c r="A76">
        <v>72</v>
      </c>
      <c r="B76">
        <v>91</v>
      </c>
      <c r="C76">
        <f t="shared" si="141"/>
        <v>2.9810582823781222E-2</v>
      </c>
      <c r="D76">
        <f t="shared" si="142"/>
        <v>8.8867084829352E-4</v>
      </c>
      <c r="E76">
        <v>0.20493</v>
      </c>
      <c r="F76">
        <f t="shared" si="137"/>
        <v>0.79506999999999994</v>
      </c>
      <c r="G76" s="34">
        <f t="shared" si="146"/>
        <v>7.0986155870941203E-2</v>
      </c>
      <c r="H76" s="34"/>
      <c r="I76">
        <v>831.81570913811322</v>
      </c>
      <c r="J76">
        <v>91</v>
      </c>
      <c r="K76" s="38">
        <f t="shared" si="147"/>
        <v>831.81570913814153</v>
      </c>
      <c r="L76" s="22">
        <f t="shared" si="138"/>
        <v>636.06951892984148</v>
      </c>
      <c r="M76" s="23">
        <f t="shared" si="143"/>
        <v>439.52824054796787</v>
      </c>
      <c r="T76" s="59">
        <v>804.09</v>
      </c>
      <c r="U76">
        <v>0.20493</v>
      </c>
      <c r="V76">
        <v>5.2631578947368418E-2</v>
      </c>
      <c r="W76">
        <v>3.9210560847676823E-2</v>
      </c>
      <c r="Z76">
        <f t="shared" si="150"/>
        <v>0.17374999999999999</v>
      </c>
      <c r="AA76">
        <f t="shared" si="151"/>
        <v>0.82625000000000004</v>
      </c>
      <c r="AB76" s="34">
        <f t="shared" si="154"/>
        <v>0.11005867721155353</v>
      </c>
      <c r="AC76">
        <f t="shared" ref="AC76:CN76" si="161">AB77/AB$3</f>
        <v>8.9374956919956117E-2</v>
      </c>
      <c r="AD76">
        <f t="shared" si="161"/>
        <v>7.1134749833172653E-2</v>
      </c>
      <c r="AE76">
        <f t="shared" si="161"/>
        <v>5.5384551994947816E-2</v>
      </c>
      <c r="AF76">
        <f t="shared" si="161"/>
        <v>4.2092192979511528E-2</v>
      </c>
      <c r="AG76">
        <f t="shared" si="161"/>
        <v>3.1154257527846344E-2</v>
      </c>
      <c r="AH76">
        <f t="shared" si="161"/>
        <v>2.23988874308368E-2</v>
      </c>
      <c r="AI76">
        <f t="shared" si="161"/>
        <v>1.5599357336335683E-2</v>
      </c>
      <c r="AJ76">
        <f t="shared" si="161"/>
        <v>1.0491417934375946E-2</v>
      </c>
      <c r="AK76">
        <f t="shared" si="161"/>
        <v>6.7910921708981579E-3</v>
      </c>
      <c r="AL76">
        <f t="shared" si="161"/>
        <v>4.2152732264332709E-3</v>
      </c>
      <c r="AM76">
        <f t="shared" si="161"/>
        <v>2.4987590185597207E-3</v>
      </c>
      <c r="AN76">
        <f t="shared" si="161"/>
        <v>1.4083691492542253E-3</v>
      </c>
      <c r="AO76">
        <f t="shared" si="161"/>
        <v>7.5107848479560955E-4</v>
      </c>
      <c r="AP76">
        <f t="shared" si="161"/>
        <v>3.7697261264408113E-4</v>
      </c>
      <c r="AQ76">
        <f t="shared" si="161"/>
        <v>1.7703096182600312E-4</v>
      </c>
      <c r="AR76">
        <f t="shared" si="161"/>
        <v>7.7289512296924647E-5</v>
      </c>
      <c r="AS76">
        <f t="shared" si="161"/>
        <v>3.1150184555402751E-5</v>
      </c>
      <c r="AT76">
        <f t="shared" si="161"/>
        <v>1.1500703587006529E-5</v>
      </c>
      <c r="AU76">
        <f t="shared" si="161"/>
        <v>3.8569327315707491E-6</v>
      </c>
      <c r="AV76">
        <f t="shared" si="161"/>
        <v>1.1644657644454586E-6</v>
      </c>
      <c r="AW76">
        <f t="shared" si="161"/>
        <v>3.1309861958320197E-7</v>
      </c>
      <c r="AX76">
        <f t="shared" si="161"/>
        <v>0</v>
      </c>
      <c r="AY76">
        <f t="shared" si="161"/>
        <v>0</v>
      </c>
      <c r="AZ76">
        <f t="shared" si="161"/>
        <v>0</v>
      </c>
      <c r="BA76">
        <f t="shared" si="161"/>
        <v>0</v>
      </c>
      <c r="BB76">
        <f t="shared" si="161"/>
        <v>0</v>
      </c>
      <c r="BC76">
        <f t="shared" si="161"/>
        <v>0</v>
      </c>
      <c r="BD76">
        <f t="shared" si="161"/>
        <v>0</v>
      </c>
      <c r="BE76">
        <f t="shared" si="161"/>
        <v>0</v>
      </c>
      <c r="BF76">
        <f t="shared" si="161"/>
        <v>0</v>
      </c>
      <c r="BG76">
        <f t="shared" si="161"/>
        <v>0</v>
      </c>
      <c r="BH76">
        <f t="shared" si="161"/>
        <v>0</v>
      </c>
      <c r="BI76">
        <f t="shared" si="161"/>
        <v>0</v>
      </c>
      <c r="BJ76">
        <f t="shared" si="161"/>
        <v>0</v>
      </c>
      <c r="BK76">
        <f t="shared" si="161"/>
        <v>0</v>
      </c>
      <c r="BL76">
        <f t="shared" si="161"/>
        <v>0</v>
      </c>
      <c r="BM76">
        <f t="shared" si="161"/>
        <v>0</v>
      </c>
      <c r="BN76">
        <f t="shared" si="161"/>
        <v>0</v>
      </c>
      <c r="BO76">
        <f t="shared" si="161"/>
        <v>0</v>
      </c>
      <c r="BP76">
        <f t="shared" si="161"/>
        <v>0</v>
      </c>
      <c r="BQ76">
        <f t="shared" si="161"/>
        <v>0</v>
      </c>
      <c r="BR76">
        <f t="shared" si="161"/>
        <v>0</v>
      </c>
      <c r="BS76">
        <f t="shared" si="161"/>
        <v>0</v>
      </c>
      <c r="BT76">
        <f t="shared" si="161"/>
        <v>0</v>
      </c>
      <c r="BU76">
        <f t="shared" si="161"/>
        <v>0</v>
      </c>
      <c r="BV76">
        <f t="shared" si="161"/>
        <v>0</v>
      </c>
      <c r="BW76">
        <f t="shared" si="161"/>
        <v>0</v>
      </c>
      <c r="BX76">
        <f t="shared" si="161"/>
        <v>0</v>
      </c>
      <c r="BY76">
        <f t="shared" si="161"/>
        <v>0</v>
      </c>
      <c r="BZ76">
        <f t="shared" si="161"/>
        <v>0</v>
      </c>
      <c r="CA76">
        <f t="shared" si="161"/>
        <v>0</v>
      </c>
      <c r="CB76">
        <f t="shared" si="161"/>
        <v>0</v>
      </c>
      <c r="CC76">
        <f t="shared" si="161"/>
        <v>0</v>
      </c>
      <c r="CD76">
        <f t="shared" si="161"/>
        <v>0</v>
      </c>
      <c r="CE76">
        <f t="shared" si="161"/>
        <v>0</v>
      </c>
      <c r="CF76">
        <f t="shared" si="161"/>
        <v>0</v>
      </c>
      <c r="CG76">
        <f t="shared" si="161"/>
        <v>0</v>
      </c>
      <c r="CH76">
        <f t="shared" si="161"/>
        <v>0</v>
      </c>
      <c r="CI76">
        <f t="shared" si="161"/>
        <v>0</v>
      </c>
      <c r="CJ76">
        <f t="shared" si="161"/>
        <v>0</v>
      </c>
      <c r="CK76">
        <f t="shared" si="161"/>
        <v>0</v>
      </c>
      <c r="CL76">
        <f t="shared" si="161"/>
        <v>0</v>
      </c>
      <c r="CM76">
        <f t="shared" si="161"/>
        <v>0</v>
      </c>
      <c r="CN76">
        <f t="shared" si="161"/>
        <v>0</v>
      </c>
      <c r="CO76">
        <f t="shared" ref="CO76:DN76" si="162">CN77/CN$3</f>
        <v>0</v>
      </c>
      <c r="CP76">
        <f t="shared" si="162"/>
        <v>0</v>
      </c>
      <c r="CQ76">
        <f t="shared" si="162"/>
        <v>0</v>
      </c>
      <c r="CR76">
        <f t="shared" si="162"/>
        <v>0</v>
      </c>
      <c r="CS76">
        <f t="shared" si="162"/>
        <v>0</v>
      </c>
      <c r="CT76">
        <f t="shared" si="162"/>
        <v>0</v>
      </c>
      <c r="CU76">
        <f t="shared" si="162"/>
        <v>0</v>
      </c>
      <c r="CV76">
        <f t="shared" si="162"/>
        <v>0</v>
      </c>
      <c r="CW76">
        <f t="shared" si="162"/>
        <v>0</v>
      </c>
      <c r="CX76">
        <f t="shared" si="162"/>
        <v>0</v>
      </c>
      <c r="CY76">
        <f t="shared" si="162"/>
        <v>0</v>
      </c>
      <c r="CZ76">
        <f t="shared" si="162"/>
        <v>0</v>
      </c>
      <c r="DA76">
        <f t="shared" si="162"/>
        <v>0</v>
      </c>
      <c r="DB76">
        <f t="shared" si="162"/>
        <v>0</v>
      </c>
      <c r="DC76">
        <f t="shared" si="162"/>
        <v>0</v>
      </c>
      <c r="DD76">
        <f t="shared" si="162"/>
        <v>0</v>
      </c>
      <c r="DE76">
        <f t="shared" si="162"/>
        <v>0</v>
      </c>
      <c r="DF76">
        <f t="shared" si="162"/>
        <v>0</v>
      </c>
      <c r="DG76">
        <f t="shared" si="162"/>
        <v>0</v>
      </c>
      <c r="DH76">
        <f t="shared" si="162"/>
        <v>0</v>
      </c>
      <c r="DI76">
        <f t="shared" si="162"/>
        <v>0</v>
      </c>
      <c r="DJ76">
        <f t="shared" si="162"/>
        <v>0</v>
      </c>
      <c r="DK76">
        <f t="shared" si="162"/>
        <v>0</v>
      </c>
      <c r="DL76">
        <f t="shared" si="162"/>
        <v>0</v>
      </c>
      <c r="DM76">
        <f t="shared" si="162"/>
        <v>0</v>
      </c>
      <c r="DN76">
        <f t="shared" si="162"/>
        <v>0</v>
      </c>
    </row>
    <row r="77" spans="1:118" x14ac:dyDescent="0.2">
      <c r="A77">
        <v>73</v>
      </c>
      <c r="B77">
        <v>92</v>
      </c>
      <c r="C77">
        <f t="shared" si="141"/>
        <v>2.8391031260744024E-2</v>
      </c>
      <c r="D77">
        <f t="shared" si="142"/>
        <v>8.0605065604854437E-4</v>
      </c>
      <c r="E77">
        <v>0.22227000000000002</v>
      </c>
      <c r="F77">
        <f t="shared" si="137"/>
        <v>0.77773000000000003</v>
      </c>
      <c r="G77" s="34">
        <f t="shared" si="146"/>
        <v>5.5208063005507103E-2</v>
      </c>
      <c r="H77" s="34"/>
      <c r="I77">
        <v>840.77690592654642</v>
      </c>
      <c r="J77">
        <v>92</v>
      </c>
      <c r="K77" s="38">
        <f t="shared" si="147"/>
        <v>840.77690592658348</v>
      </c>
      <c r="L77" s="22">
        <f t="shared" si="138"/>
        <v>649.42149459168536</v>
      </c>
      <c r="M77" s="23">
        <f t="shared" si="143"/>
        <v>439.52824054796787</v>
      </c>
      <c r="T77" s="60">
        <v>814.27</v>
      </c>
      <c r="U77">
        <v>0.22227000000000002</v>
      </c>
      <c r="V77">
        <v>5.5555555555555552E-2</v>
      </c>
      <c r="W77">
        <v>3.9210560847676823E-2</v>
      </c>
      <c r="Z77">
        <f t="shared" si="150"/>
        <v>0.18877000000000002</v>
      </c>
      <c r="AA77">
        <f t="shared" si="151"/>
        <v>0.81123000000000001</v>
      </c>
      <c r="AB77" s="34">
        <f t="shared" si="154"/>
        <v>8.9282900714328567E-2</v>
      </c>
      <c r="AC77">
        <f t="shared" ref="AC77:CN77" si="163">AB78/AB$3</f>
        <v>7.1059346998349496E-2</v>
      </c>
      <c r="AD77">
        <f t="shared" si="163"/>
        <v>5.5323628987753372E-2</v>
      </c>
      <c r="AE77">
        <f t="shared" si="163"/>
        <v>4.2044628801444682E-2</v>
      </c>
      <c r="AF77">
        <f t="shared" si="163"/>
        <v>3.1117495503963487E-2</v>
      </c>
      <c r="AG77">
        <f t="shared" si="163"/>
        <v>2.237156078817118E-2</v>
      </c>
      <c r="AH77">
        <f t="shared" si="163"/>
        <v>1.5579546152518536E-2</v>
      </c>
      <c r="AI77">
        <f t="shared" si="163"/>
        <v>1.0477464348523225E-2</v>
      </c>
      <c r="AJ77">
        <f t="shared" si="163"/>
        <v>6.7816525527806095E-3</v>
      </c>
      <c r="AK77">
        <f t="shared" si="163"/>
        <v>4.209118927522678E-3</v>
      </c>
      <c r="AL77">
        <f t="shared" si="163"/>
        <v>2.4949359172613244E-3</v>
      </c>
      <c r="AM77">
        <f t="shared" si="163"/>
        <v>1.4061016749239261E-3</v>
      </c>
      <c r="AN77">
        <f t="shared" si="163"/>
        <v>7.4980165137145702E-4</v>
      </c>
      <c r="AO77">
        <f t="shared" si="163"/>
        <v>3.7629783166744823E-4</v>
      </c>
      <c r="AP77">
        <f t="shared" si="163"/>
        <v>1.7669460299853373E-4</v>
      </c>
      <c r="AQ77">
        <f t="shared" si="163"/>
        <v>7.7134160377207835E-5</v>
      </c>
      <c r="AR77">
        <f t="shared" si="163"/>
        <v>3.1083523160454187E-5</v>
      </c>
      <c r="AS77">
        <f t="shared" si="163"/>
        <v>1.1474481982828154E-5</v>
      </c>
      <c r="AT77">
        <f t="shared" si="163"/>
        <v>3.8475603850330317E-6</v>
      </c>
      <c r="AU77">
        <f t="shared" si="163"/>
        <v>1.1614381534579003E-6</v>
      </c>
      <c r="AV77">
        <f t="shared" si="163"/>
        <v>3.1222820542076069E-7</v>
      </c>
      <c r="AW77">
        <f t="shared" si="163"/>
        <v>0</v>
      </c>
      <c r="AX77">
        <f t="shared" si="163"/>
        <v>0</v>
      </c>
      <c r="AY77">
        <f t="shared" si="163"/>
        <v>0</v>
      </c>
      <c r="AZ77">
        <f t="shared" si="163"/>
        <v>0</v>
      </c>
      <c r="BA77">
        <f t="shared" si="163"/>
        <v>0</v>
      </c>
      <c r="BB77">
        <f t="shared" si="163"/>
        <v>0</v>
      </c>
      <c r="BC77">
        <f t="shared" si="163"/>
        <v>0</v>
      </c>
      <c r="BD77">
        <f t="shared" si="163"/>
        <v>0</v>
      </c>
      <c r="BE77">
        <f t="shared" si="163"/>
        <v>0</v>
      </c>
      <c r="BF77">
        <f t="shared" si="163"/>
        <v>0</v>
      </c>
      <c r="BG77">
        <f t="shared" si="163"/>
        <v>0</v>
      </c>
      <c r="BH77">
        <f t="shared" si="163"/>
        <v>0</v>
      </c>
      <c r="BI77">
        <f t="shared" si="163"/>
        <v>0</v>
      </c>
      <c r="BJ77">
        <f t="shared" si="163"/>
        <v>0</v>
      </c>
      <c r="BK77">
        <f t="shared" si="163"/>
        <v>0</v>
      </c>
      <c r="BL77">
        <f t="shared" si="163"/>
        <v>0</v>
      </c>
      <c r="BM77">
        <f t="shared" si="163"/>
        <v>0</v>
      </c>
      <c r="BN77">
        <f t="shared" si="163"/>
        <v>0</v>
      </c>
      <c r="BO77">
        <f t="shared" si="163"/>
        <v>0</v>
      </c>
      <c r="BP77">
        <f t="shared" si="163"/>
        <v>0</v>
      </c>
      <c r="BQ77">
        <f t="shared" si="163"/>
        <v>0</v>
      </c>
      <c r="BR77">
        <f t="shared" si="163"/>
        <v>0</v>
      </c>
      <c r="BS77">
        <f t="shared" si="163"/>
        <v>0</v>
      </c>
      <c r="BT77">
        <f t="shared" si="163"/>
        <v>0</v>
      </c>
      <c r="BU77">
        <f t="shared" si="163"/>
        <v>0</v>
      </c>
      <c r="BV77">
        <f t="shared" si="163"/>
        <v>0</v>
      </c>
      <c r="BW77">
        <f t="shared" si="163"/>
        <v>0</v>
      </c>
      <c r="BX77">
        <f t="shared" si="163"/>
        <v>0</v>
      </c>
      <c r="BY77">
        <f t="shared" si="163"/>
        <v>0</v>
      </c>
      <c r="BZ77">
        <f t="shared" si="163"/>
        <v>0</v>
      </c>
      <c r="CA77">
        <f t="shared" si="163"/>
        <v>0</v>
      </c>
      <c r="CB77">
        <f t="shared" si="163"/>
        <v>0</v>
      </c>
      <c r="CC77">
        <f t="shared" si="163"/>
        <v>0</v>
      </c>
      <c r="CD77">
        <f t="shared" si="163"/>
        <v>0</v>
      </c>
      <c r="CE77">
        <f t="shared" si="163"/>
        <v>0</v>
      </c>
      <c r="CF77">
        <f t="shared" si="163"/>
        <v>0</v>
      </c>
      <c r="CG77">
        <f t="shared" si="163"/>
        <v>0</v>
      </c>
      <c r="CH77">
        <f t="shared" si="163"/>
        <v>0</v>
      </c>
      <c r="CI77">
        <f t="shared" si="163"/>
        <v>0</v>
      </c>
      <c r="CJ77">
        <f t="shared" si="163"/>
        <v>0</v>
      </c>
      <c r="CK77">
        <f t="shared" si="163"/>
        <v>0</v>
      </c>
      <c r="CL77">
        <f t="shared" si="163"/>
        <v>0</v>
      </c>
      <c r="CM77">
        <f t="shared" si="163"/>
        <v>0</v>
      </c>
      <c r="CN77">
        <f t="shared" si="163"/>
        <v>0</v>
      </c>
      <c r="CO77">
        <f t="shared" ref="CO77:DN77" si="164">CN78/CN$3</f>
        <v>0</v>
      </c>
      <c r="CP77">
        <f t="shared" si="164"/>
        <v>0</v>
      </c>
      <c r="CQ77">
        <f t="shared" si="164"/>
        <v>0</v>
      </c>
      <c r="CR77">
        <f t="shared" si="164"/>
        <v>0</v>
      </c>
      <c r="CS77">
        <f t="shared" si="164"/>
        <v>0</v>
      </c>
      <c r="CT77">
        <f t="shared" si="164"/>
        <v>0</v>
      </c>
      <c r="CU77">
        <f t="shared" si="164"/>
        <v>0</v>
      </c>
      <c r="CV77">
        <f t="shared" si="164"/>
        <v>0</v>
      </c>
      <c r="CW77">
        <f t="shared" si="164"/>
        <v>0</v>
      </c>
      <c r="CX77">
        <f t="shared" si="164"/>
        <v>0</v>
      </c>
      <c r="CY77">
        <f t="shared" si="164"/>
        <v>0</v>
      </c>
      <c r="CZ77">
        <f t="shared" si="164"/>
        <v>0</v>
      </c>
      <c r="DA77">
        <f t="shared" si="164"/>
        <v>0</v>
      </c>
      <c r="DB77">
        <f t="shared" si="164"/>
        <v>0</v>
      </c>
      <c r="DC77">
        <f t="shared" si="164"/>
        <v>0</v>
      </c>
      <c r="DD77">
        <f t="shared" si="164"/>
        <v>0</v>
      </c>
      <c r="DE77">
        <f t="shared" si="164"/>
        <v>0</v>
      </c>
      <c r="DF77">
        <f t="shared" si="164"/>
        <v>0</v>
      </c>
      <c r="DG77">
        <f t="shared" si="164"/>
        <v>0</v>
      </c>
      <c r="DH77">
        <f t="shared" si="164"/>
        <v>0</v>
      </c>
      <c r="DI77">
        <f t="shared" si="164"/>
        <v>0</v>
      </c>
      <c r="DJ77">
        <f t="shared" si="164"/>
        <v>0</v>
      </c>
      <c r="DK77">
        <f t="shared" si="164"/>
        <v>0</v>
      </c>
      <c r="DL77">
        <f t="shared" si="164"/>
        <v>0</v>
      </c>
      <c r="DM77">
        <f t="shared" si="164"/>
        <v>0</v>
      </c>
      <c r="DN77">
        <f t="shared" si="164"/>
        <v>0</v>
      </c>
    </row>
    <row r="78" spans="1:118" x14ac:dyDescent="0.2">
      <c r="A78">
        <v>74</v>
      </c>
      <c r="B78">
        <v>93</v>
      </c>
      <c r="C78">
        <f t="shared" si="141"/>
        <v>2.7039077391184781E-2</v>
      </c>
      <c r="D78">
        <f t="shared" si="142"/>
        <v>7.3111170616648E-4</v>
      </c>
      <c r="E78">
        <v>0.24086000000000002</v>
      </c>
      <c r="F78">
        <f t="shared" si="137"/>
        <v>0.75913999999999993</v>
      </c>
      <c r="G78" s="34">
        <f t="shared" si="146"/>
        <v>4.1910648950000656E-2</v>
      </c>
      <c r="H78" s="34"/>
      <c r="I78">
        <v>849.32528155384739</v>
      </c>
      <c r="J78">
        <v>93</v>
      </c>
      <c r="K78" s="38">
        <f t="shared" si="147"/>
        <v>849.32528155389753</v>
      </c>
      <c r="L78" s="22">
        <f t="shared" si="138"/>
        <v>663.1803675166384</v>
      </c>
      <c r="M78" s="23">
        <f t="shared" si="143"/>
        <v>439.52824054796787</v>
      </c>
      <c r="T78" s="60">
        <v>824.01</v>
      </c>
      <c r="U78">
        <v>0.24086000000000002</v>
      </c>
      <c r="V78">
        <v>5.8823529411764705E-2</v>
      </c>
      <c r="W78">
        <v>3.9210560847676823E-2</v>
      </c>
      <c r="Z78">
        <f t="shared" si="150"/>
        <v>0.20493</v>
      </c>
      <c r="AA78">
        <f t="shared" si="151"/>
        <v>0.79506999999999994</v>
      </c>
      <c r="AB78" s="34">
        <f t="shared" si="154"/>
        <v>7.0986155870941203E-2</v>
      </c>
      <c r="AC78">
        <f t="shared" ref="AC78:CN78" si="165">AB79/AB$3</f>
        <v>5.5264985941026357E-2</v>
      </c>
      <c r="AD78">
        <f t="shared" si="165"/>
        <v>4.1998379709763091E-2</v>
      </c>
      <c r="AE78">
        <f t="shared" si="165"/>
        <v>3.108233273404401E-2</v>
      </c>
      <c r="AF78">
        <f t="shared" si="165"/>
        <v>2.2345162346441138E-2</v>
      </c>
      <c r="AG78">
        <f t="shared" si="165"/>
        <v>1.5560539106212462E-2</v>
      </c>
      <c r="AH78">
        <f t="shared" si="165"/>
        <v>1.04641579688006E-2</v>
      </c>
      <c r="AI78">
        <f t="shared" si="165"/>
        <v>6.772632954885411E-3</v>
      </c>
      <c r="AJ78">
        <f t="shared" si="165"/>
        <v>4.2032682522134216E-3</v>
      </c>
      <c r="AK78">
        <f t="shared" si="165"/>
        <v>2.4912933108221227E-3</v>
      </c>
      <c r="AL78">
        <f t="shared" si="165"/>
        <v>1.4039503393612925E-3</v>
      </c>
      <c r="AM78">
        <f t="shared" si="165"/>
        <v>7.4859447071274894E-4</v>
      </c>
      <c r="AN78">
        <f t="shared" si="165"/>
        <v>3.7565812535361357E-4</v>
      </c>
      <c r="AO78">
        <f t="shared" si="165"/>
        <v>1.7637831965916636E-4</v>
      </c>
      <c r="AP78">
        <f t="shared" si="165"/>
        <v>7.6987605472491141E-5</v>
      </c>
      <c r="AQ78">
        <f t="shared" si="165"/>
        <v>3.1021045278901674E-5</v>
      </c>
      <c r="AR78">
        <f t="shared" si="165"/>
        <v>1.1449926591384902E-5</v>
      </c>
      <c r="AS78">
        <f t="shared" si="165"/>
        <v>3.8387879473551567E-6</v>
      </c>
      <c r="AT78">
        <f t="shared" si="165"/>
        <v>1.1586158587449976E-6</v>
      </c>
      <c r="AU78">
        <f t="shared" si="165"/>
        <v>3.1141641208666669E-7</v>
      </c>
      <c r="AV78">
        <f t="shared" si="165"/>
        <v>0</v>
      </c>
      <c r="AW78">
        <f t="shared" si="165"/>
        <v>0</v>
      </c>
      <c r="AX78">
        <f t="shared" si="165"/>
        <v>0</v>
      </c>
      <c r="AY78">
        <f t="shared" si="165"/>
        <v>0</v>
      </c>
      <c r="AZ78">
        <f t="shared" si="165"/>
        <v>0</v>
      </c>
      <c r="BA78">
        <f t="shared" si="165"/>
        <v>0</v>
      </c>
      <c r="BB78">
        <f t="shared" si="165"/>
        <v>0</v>
      </c>
      <c r="BC78">
        <f t="shared" si="165"/>
        <v>0</v>
      </c>
      <c r="BD78">
        <f t="shared" si="165"/>
        <v>0</v>
      </c>
      <c r="BE78">
        <f t="shared" si="165"/>
        <v>0</v>
      </c>
      <c r="BF78">
        <f t="shared" si="165"/>
        <v>0</v>
      </c>
      <c r="BG78">
        <f t="shared" si="165"/>
        <v>0</v>
      </c>
      <c r="BH78">
        <f t="shared" si="165"/>
        <v>0</v>
      </c>
      <c r="BI78">
        <f t="shared" si="165"/>
        <v>0</v>
      </c>
      <c r="BJ78">
        <f t="shared" si="165"/>
        <v>0</v>
      </c>
      <c r="BK78">
        <f t="shared" si="165"/>
        <v>0</v>
      </c>
      <c r="BL78">
        <f t="shared" si="165"/>
        <v>0</v>
      </c>
      <c r="BM78">
        <f t="shared" si="165"/>
        <v>0</v>
      </c>
      <c r="BN78">
        <f t="shared" si="165"/>
        <v>0</v>
      </c>
      <c r="BO78">
        <f t="shared" si="165"/>
        <v>0</v>
      </c>
      <c r="BP78">
        <f t="shared" si="165"/>
        <v>0</v>
      </c>
      <c r="BQ78">
        <f t="shared" si="165"/>
        <v>0</v>
      </c>
      <c r="BR78">
        <f t="shared" si="165"/>
        <v>0</v>
      </c>
      <c r="BS78">
        <f t="shared" si="165"/>
        <v>0</v>
      </c>
      <c r="BT78">
        <f t="shared" si="165"/>
        <v>0</v>
      </c>
      <c r="BU78">
        <f t="shared" si="165"/>
        <v>0</v>
      </c>
      <c r="BV78">
        <f t="shared" si="165"/>
        <v>0</v>
      </c>
      <c r="BW78">
        <f t="shared" si="165"/>
        <v>0</v>
      </c>
      <c r="BX78">
        <f t="shared" si="165"/>
        <v>0</v>
      </c>
      <c r="BY78">
        <f t="shared" si="165"/>
        <v>0</v>
      </c>
      <c r="BZ78">
        <f t="shared" si="165"/>
        <v>0</v>
      </c>
      <c r="CA78">
        <f t="shared" si="165"/>
        <v>0</v>
      </c>
      <c r="CB78">
        <f t="shared" si="165"/>
        <v>0</v>
      </c>
      <c r="CC78">
        <f t="shared" si="165"/>
        <v>0</v>
      </c>
      <c r="CD78">
        <f t="shared" si="165"/>
        <v>0</v>
      </c>
      <c r="CE78">
        <f t="shared" si="165"/>
        <v>0</v>
      </c>
      <c r="CF78">
        <f t="shared" si="165"/>
        <v>0</v>
      </c>
      <c r="CG78">
        <f t="shared" si="165"/>
        <v>0</v>
      </c>
      <c r="CH78">
        <f t="shared" si="165"/>
        <v>0</v>
      </c>
      <c r="CI78">
        <f t="shared" si="165"/>
        <v>0</v>
      </c>
      <c r="CJ78">
        <f t="shared" si="165"/>
        <v>0</v>
      </c>
      <c r="CK78">
        <f t="shared" si="165"/>
        <v>0</v>
      </c>
      <c r="CL78">
        <f t="shared" si="165"/>
        <v>0</v>
      </c>
      <c r="CM78">
        <f t="shared" si="165"/>
        <v>0</v>
      </c>
      <c r="CN78">
        <f t="shared" si="165"/>
        <v>0</v>
      </c>
      <c r="CO78">
        <f t="shared" ref="CO78:DN78" si="166">CN79/CN$3</f>
        <v>0</v>
      </c>
      <c r="CP78">
        <f t="shared" si="166"/>
        <v>0</v>
      </c>
      <c r="CQ78">
        <f t="shared" si="166"/>
        <v>0</v>
      </c>
      <c r="CR78">
        <f t="shared" si="166"/>
        <v>0</v>
      </c>
      <c r="CS78">
        <f t="shared" si="166"/>
        <v>0</v>
      </c>
      <c r="CT78">
        <f t="shared" si="166"/>
        <v>0</v>
      </c>
      <c r="CU78">
        <f t="shared" si="166"/>
        <v>0</v>
      </c>
      <c r="CV78">
        <f t="shared" si="166"/>
        <v>0</v>
      </c>
      <c r="CW78">
        <f t="shared" si="166"/>
        <v>0</v>
      </c>
      <c r="CX78">
        <f t="shared" si="166"/>
        <v>0</v>
      </c>
      <c r="CY78">
        <f t="shared" si="166"/>
        <v>0</v>
      </c>
      <c r="CZ78">
        <f t="shared" si="166"/>
        <v>0</v>
      </c>
      <c r="DA78">
        <f t="shared" si="166"/>
        <v>0</v>
      </c>
      <c r="DB78">
        <f t="shared" si="166"/>
        <v>0</v>
      </c>
      <c r="DC78">
        <f t="shared" si="166"/>
        <v>0</v>
      </c>
      <c r="DD78">
        <f t="shared" si="166"/>
        <v>0</v>
      </c>
      <c r="DE78">
        <f t="shared" si="166"/>
        <v>0</v>
      </c>
      <c r="DF78">
        <f t="shared" si="166"/>
        <v>0</v>
      </c>
      <c r="DG78">
        <f t="shared" si="166"/>
        <v>0</v>
      </c>
      <c r="DH78">
        <f t="shared" si="166"/>
        <v>0</v>
      </c>
      <c r="DI78">
        <f t="shared" si="166"/>
        <v>0</v>
      </c>
      <c r="DJ78">
        <f t="shared" si="166"/>
        <v>0</v>
      </c>
      <c r="DK78">
        <f t="shared" si="166"/>
        <v>0</v>
      </c>
      <c r="DL78">
        <f t="shared" si="166"/>
        <v>0</v>
      </c>
      <c r="DM78">
        <f t="shared" si="166"/>
        <v>0</v>
      </c>
      <c r="DN78">
        <f t="shared" si="166"/>
        <v>0</v>
      </c>
    </row>
    <row r="79" spans="1:118" x14ac:dyDescent="0.2">
      <c r="A79">
        <v>75</v>
      </c>
      <c r="B79">
        <v>94</v>
      </c>
      <c r="C79">
        <f t="shared" si="141"/>
        <v>2.5751502277318841E-2</v>
      </c>
      <c r="D79">
        <f t="shared" si="142"/>
        <v>6.6313986953875738E-4</v>
      </c>
      <c r="E79">
        <v>0.26073000000000002</v>
      </c>
      <c r="F79">
        <f t="shared" si="137"/>
        <v>0.73926999999999998</v>
      </c>
      <c r="G79" s="34">
        <f t="shared" si="146"/>
        <v>3.0983285449266984E-2</v>
      </c>
      <c r="H79" s="34"/>
      <c r="I79">
        <v>857.45915856303088</v>
      </c>
      <c r="J79">
        <v>94</v>
      </c>
      <c r="K79" s="38">
        <f t="shared" si="147"/>
        <v>857.45915856310091</v>
      </c>
      <c r="L79" s="22">
        <f t="shared" si="138"/>
        <v>677.3605975107497</v>
      </c>
      <c r="M79" s="23">
        <f t="shared" si="143"/>
        <v>439.52824054796787</v>
      </c>
      <c r="T79" s="60">
        <v>833.3</v>
      </c>
      <c r="U79">
        <v>0.26073000000000002</v>
      </c>
      <c r="V79">
        <v>6.25E-2</v>
      </c>
      <c r="W79">
        <v>3.9210560847676823E-2</v>
      </c>
      <c r="Z79">
        <f t="shared" si="150"/>
        <v>0.22227000000000002</v>
      </c>
      <c r="AA79">
        <f t="shared" si="151"/>
        <v>0.77773000000000003</v>
      </c>
      <c r="AB79" s="34">
        <f t="shared" si="154"/>
        <v>5.5208063005507103E-2</v>
      </c>
      <c r="AC79">
        <f t="shared" ref="AC79:CN79" si="167">AB80/AB$3</f>
        <v>4.1953861427270742E-2</v>
      </c>
      <c r="AD79">
        <f t="shared" si="167"/>
        <v>3.1048142168036561E-2</v>
      </c>
      <c r="AE79">
        <f t="shared" si="167"/>
        <v>2.2319912312989659E-2</v>
      </c>
      <c r="AF79">
        <f t="shared" si="167"/>
        <v>1.5542177670067133E-2</v>
      </c>
      <c r="AG79">
        <f t="shared" si="167"/>
        <v>1.0451391696078664E-2</v>
      </c>
      <c r="AH79">
        <f t="shared" si="167"/>
        <v>6.7640317110327069E-3</v>
      </c>
      <c r="AI79">
        <f t="shared" si="167"/>
        <v>4.1976779054379776E-3</v>
      </c>
      <c r="AJ79">
        <f t="shared" si="167"/>
        <v>2.4878304131200801E-3</v>
      </c>
      <c r="AK79">
        <f t="shared" si="167"/>
        <v>1.4019005718658251E-3</v>
      </c>
      <c r="AL79">
        <f t="shared" si="167"/>
        <v>7.4744912117255839E-4</v>
      </c>
      <c r="AM79">
        <f t="shared" si="167"/>
        <v>3.7505331577179427E-4</v>
      </c>
      <c r="AN79">
        <f t="shared" si="167"/>
        <v>1.7607847651574578E-4</v>
      </c>
      <c r="AO79">
        <f t="shared" si="167"/>
        <v>7.6849797658695384E-5</v>
      </c>
      <c r="AP79">
        <f t="shared" si="167"/>
        <v>3.0962105292871758E-5</v>
      </c>
      <c r="AQ79">
        <f t="shared" si="167"/>
        <v>1.1426912238936219E-5</v>
      </c>
      <c r="AR79">
        <f t="shared" si="167"/>
        <v>3.8305729411478168E-6</v>
      </c>
      <c r="AS79">
        <f t="shared" si="167"/>
        <v>1.1559742145870591E-6</v>
      </c>
      <c r="AT79">
        <f t="shared" si="167"/>
        <v>3.1065967020529609E-7</v>
      </c>
      <c r="AU79">
        <f t="shared" si="167"/>
        <v>0</v>
      </c>
      <c r="AV79">
        <f t="shared" si="167"/>
        <v>0</v>
      </c>
      <c r="AW79">
        <f t="shared" si="167"/>
        <v>0</v>
      </c>
      <c r="AX79">
        <f t="shared" si="167"/>
        <v>0</v>
      </c>
      <c r="AY79">
        <f t="shared" si="167"/>
        <v>0</v>
      </c>
      <c r="AZ79">
        <f t="shared" si="167"/>
        <v>0</v>
      </c>
      <c r="BA79">
        <f t="shared" si="167"/>
        <v>0</v>
      </c>
      <c r="BB79">
        <f t="shared" si="167"/>
        <v>0</v>
      </c>
      <c r="BC79">
        <f t="shared" si="167"/>
        <v>0</v>
      </c>
      <c r="BD79">
        <f t="shared" si="167"/>
        <v>0</v>
      </c>
      <c r="BE79">
        <f t="shared" si="167"/>
        <v>0</v>
      </c>
      <c r="BF79">
        <f t="shared" si="167"/>
        <v>0</v>
      </c>
      <c r="BG79">
        <f t="shared" si="167"/>
        <v>0</v>
      </c>
      <c r="BH79">
        <f t="shared" si="167"/>
        <v>0</v>
      </c>
      <c r="BI79">
        <f t="shared" si="167"/>
        <v>0</v>
      </c>
      <c r="BJ79">
        <f t="shared" si="167"/>
        <v>0</v>
      </c>
      <c r="BK79">
        <f t="shared" si="167"/>
        <v>0</v>
      </c>
      <c r="BL79">
        <f t="shared" si="167"/>
        <v>0</v>
      </c>
      <c r="BM79">
        <f t="shared" si="167"/>
        <v>0</v>
      </c>
      <c r="BN79">
        <f t="shared" si="167"/>
        <v>0</v>
      </c>
      <c r="BO79">
        <f t="shared" si="167"/>
        <v>0</v>
      </c>
      <c r="BP79">
        <f t="shared" si="167"/>
        <v>0</v>
      </c>
      <c r="BQ79">
        <f t="shared" si="167"/>
        <v>0</v>
      </c>
      <c r="BR79">
        <f t="shared" si="167"/>
        <v>0</v>
      </c>
      <c r="BS79">
        <f t="shared" si="167"/>
        <v>0</v>
      </c>
      <c r="BT79">
        <f t="shared" si="167"/>
        <v>0</v>
      </c>
      <c r="BU79">
        <f t="shared" si="167"/>
        <v>0</v>
      </c>
      <c r="BV79">
        <f t="shared" si="167"/>
        <v>0</v>
      </c>
      <c r="BW79">
        <f t="shared" si="167"/>
        <v>0</v>
      </c>
      <c r="BX79">
        <f t="shared" si="167"/>
        <v>0</v>
      </c>
      <c r="BY79">
        <f t="shared" si="167"/>
        <v>0</v>
      </c>
      <c r="BZ79">
        <f t="shared" si="167"/>
        <v>0</v>
      </c>
      <c r="CA79">
        <f t="shared" si="167"/>
        <v>0</v>
      </c>
      <c r="CB79">
        <f t="shared" si="167"/>
        <v>0</v>
      </c>
      <c r="CC79">
        <f t="shared" si="167"/>
        <v>0</v>
      </c>
      <c r="CD79">
        <f t="shared" si="167"/>
        <v>0</v>
      </c>
      <c r="CE79">
        <f t="shared" si="167"/>
        <v>0</v>
      </c>
      <c r="CF79">
        <f t="shared" si="167"/>
        <v>0</v>
      </c>
      <c r="CG79">
        <f t="shared" si="167"/>
        <v>0</v>
      </c>
      <c r="CH79">
        <f t="shared" si="167"/>
        <v>0</v>
      </c>
      <c r="CI79">
        <f t="shared" si="167"/>
        <v>0</v>
      </c>
      <c r="CJ79">
        <f t="shared" si="167"/>
        <v>0</v>
      </c>
      <c r="CK79">
        <f t="shared" si="167"/>
        <v>0</v>
      </c>
      <c r="CL79">
        <f t="shared" si="167"/>
        <v>0</v>
      </c>
      <c r="CM79">
        <f t="shared" si="167"/>
        <v>0</v>
      </c>
      <c r="CN79">
        <f t="shared" si="167"/>
        <v>0</v>
      </c>
      <c r="CO79">
        <f t="shared" ref="CO79:DN79" si="168">CN80/CN$3</f>
        <v>0</v>
      </c>
      <c r="CP79">
        <f t="shared" si="168"/>
        <v>0</v>
      </c>
      <c r="CQ79">
        <f t="shared" si="168"/>
        <v>0</v>
      </c>
      <c r="CR79">
        <f t="shared" si="168"/>
        <v>0</v>
      </c>
      <c r="CS79">
        <f t="shared" si="168"/>
        <v>0</v>
      </c>
      <c r="CT79">
        <f t="shared" si="168"/>
        <v>0</v>
      </c>
      <c r="CU79">
        <f t="shared" si="168"/>
        <v>0</v>
      </c>
      <c r="CV79">
        <f t="shared" si="168"/>
        <v>0</v>
      </c>
      <c r="CW79">
        <f t="shared" si="168"/>
        <v>0</v>
      </c>
      <c r="CX79">
        <f t="shared" si="168"/>
        <v>0</v>
      </c>
      <c r="CY79">
        <f t="shared" si="168"/>
        <v>0</v>
      </c>
      <c r="CZ79">
        <f t="shared" si="168"/>
        <v>0</v>
      </c>
      <c r="DA79">
        <f t="shared" si="168"/>
        <v>0</v>
      </c>
      <c r="DB79">
        <f t="shared" si="168"/>
        <v>0</v>
      </c>
      <c r="DC79">
        <f t="shared" si="168"/>
        <v>0</v>
      </c>
      <c r="DD79">
        <f t="shared" si="168"/>
        <v>0</v>
      </c>
      <c r="DE79">
        <f t="shared" si="168"/>
        <v>0</v>
      </c>
      <c r="DF79">
        <f t="shared" si="168"/>
        <v>0</v>
      </c>
      <c r="DG79">
        <f t="shared" si="168"/>
        <v>0</v>
      </c>
      <c r="DH79">
        <f t="shared" si="168"/>
        <v>0</v>
      </c>
      <c r="DI79">
        <f t="shared" si="168"/>
        <v>0</v>
      </c>
      <c r="DJ79">
        <f t="shared" si="168"/>
        <v>0</v>
      </c>
      <c r="DK79">
        <f t="shared" si="168"/>
        <v>0</v>
      </c>
      <c r="DL79">
        <f t="shared" si="168"/>
        <v>0</v>
      </c>
      <c r="DM79">
        <f t="shared" si="168"/>
        <v>0</v>
      </c>
      <c r="DN79">
        <f t="shared" si="168"/>
        <v>0</v>
      </c>
    </row>
    <row r="80" spans="1:118" x14ac:dyDescent="0.2">
      <c r="A80">
        <v>76</v>
      </c>
      <c r="B80">
        <v>95</v>
      </c>
      <c r="C80">
        <f t="shared" si="141"/>
        <v>2.4525240264113179E-2</v>
      </c>
      <c r="D80">
        <f t="shared" si="142"/>
        <v>6.0148741001247834E-4</v>
      </c>
      <c r="E80">
        <v>0.28191000000000005</v>
      </c>
      <c r="F80">
        <f t="shared" si="137"/>
        <v>0.7180899999999999</v>
      </c>
      <c r="G80" s="34">
        <f t="shared" si="146"/>
        <v>2.2248787448264126E-2</v>
      </c>
      <c r="H80" s="34"/>
      <c r="I80">
        <v>865.18067349031196</v>
      </c>
      <c r="J80">
        <v>95</v>
      </c>
      <c r="K80" s="38">
        <f t="shared" si="147"/>
        <v>865.18067349041087</v>
      </c>
      <c r="L80" s="22">
        <f t="shared" si="138"/>
        <v>691.97720254537307</v>
      </c>
      <c r="M80" s="23">
        <f t="shared" si="143"/>
        <v>439.52824054796787</v>
      </c>
      <c r="T80" s="58">
        <v>842.14</v>
      </c>
      <c r="U80">
        <v>0.28191000000000005</v>
      </c>
      <c r="V80">
        <v>6.6666666666666666E-2</v>
      </c>
      <c r="W80">
        <v>3.9210560847676823E-2</v>
      </c>
      <c r="Z80">
        <f t="shared" si="150"/>
        <v>0.24086000000000002</v>
      </c>
      <c r="AA80">
        <f t="shared" si="151"/>
        <v>0.75913999999999993</v>
      </c>
      <c r="AB80" s="34">
        <f t="shared" si="154"/>
        <v>4.1910648950000656E-2</v>
      </c>
      <c r="AC80">
        <f t="shared" ref="AC80:CN80" si="169">AB81/AB$3</f>
        <v>3.1015231137338443E-2</v>
      </c>
      <c r="AD80">
        <f t="shared" si="169"/>
        <v>2.229536040944537E-2</v>
      </c>
      <c r="AE80">
        <f t="shared" si="169"/>
        <v>1.5524615009299957E-2</v>
      </c>
      <c r="AF80">
        <f t="shared" si="169"/>
        <v>1.0439059053877292E-2</v>
      </c>
      <c r="AG80">
        <f t="shared" si="169"/>
        <v>6.7557795923452466E-3</v>
      </c>
      <c r="AH80">
        <f t="shared" si="169"/>
        <v>4.1923468544980717E-3</v>
      </c>
      <c r="AI80">
        <f t="shared" si="169"/>
        <v>2.4845215986706304E-3</v>
      </c>
      <c r="AJ80">
        <f t="shared" si="169"/>
        <v>1.3999519300709315E-3</v>
      </c>
      <c r="AK80">
        <f t="shared" si="169"/>
        <v>7.4635784545564647E-4</v>
      </c>
      <c r="AL80">
        <f t="shared" si="169"/>
        <v>3.7447948419866341E-4</v>
      </c>
      <c r="AM80">
        <f t="shared" si="169"/>
        <v>1.7579499016855544E-4</v>
      </c>
      <c r="AN80">
        <f t="shared" si="169"/>
        <v>7.6719153002675601E-5</v>
      </c>
      <c r="AO80">
        <f t="shared" si="169"/>
        <v>3.0906683124397522E-5</v>
      </c>
      <c r="AP80">
        <f t="shared" si="169"/>
        <v>1.1405201105682241E-5</v>
      </c>
      <c r="AQ80">
        <f t="shared" si="169"/>
        <v>3.8228734895361102E-6</v>
      </c>
      <c r="AR80">
        <f t="shared" si="169"/>
        <v>1.1535004297678428E-6</v>
      </c>
      <c r="AS80">
        <f t="shared" si="169"/>
        <v>3.0995136615722803E-7</v>
      </c>
      <c r="AT80">
        <f t="shared" si="169"/>
        <v>0</v>
      </c>
      <c r="AU80">
        <f t="shared" si="169"/>
        <v>0</v>
      </c>
      <c r="AV80">
        <f t="shared" si="169"/>
        <v>0</v>
      </c>
      <c r="AW80">
        <f t="shared" si="169"/>
        <v>0</v>
      </c>
      <c r="AX80">
        <f t="shared" si="169"/>
        <v>0</v>
      </c>
      <c r="AY80">
        <f t="shared" si="169"/>
        <v>0</v>
      </c>
      <c r="AZ80">
        <f t="shared" si="169"/>
        <v>0</v>
      </c>
      <c r="BA80">
        <f t="shared" si="169"/>
        <v>0</v>
      </c>
      <c r="BB80">
        <f t="shared" si="169"/>
        <v>0</v>
      </c>
      <c r="BC80">
        <f t="shared" si="169"/>
        <v>0</v>
      </c>
      <c r="BD80">
        <f t="shared" si="169"/>
        <v>0</v>
      </c>
      <c r="BE80">
        <f t="shared" si="169"/>
        <v>0</v>
      </c>
      <c r="BF80">
        <f t="shared" si="169"/>
        <v>0</v>
      </c>
      <c r="BG80">
        <f t="shared" si="169"/>
        <v>0</v>
      </c>
      <c r="BH80">
        <f t="shared" si="169"/>
        <v>0</v>
      </c>
      <c r="BI80">
        <f t="shared" si="169"/>
        <v>0</v>
      </c>
      <c r="BJ80">
        <f t="shared" si="169"/>
        <v>0</v>
      </c>
      <c r="BK80">
        <f t="shared" si="169"/>
        <v>0</v>
      </c>
      <c r="BL80">
        <f t="shared" si="169"/>
        <v>0</v>
      </c>
      <c r="BM80">
        <f t="shared" si="169"/>
        <v>0</v>
      </c>
      <c r="BN80">
        <f t="shared" si="169"/>
        <v>0</v>
      </c>
      <c r="BO80">
        <f t="shared" si="169"/>
        <v>0</v>
      </c>
      <c r="BP80">
        <f t="shared" si="169"/>
        <v>0</v>
      </c>
      <c r="BQ80">
        <f t="shared" si="169"/>
        <v>0</v>
      </c>
      <c r="BR80">
        <f t="shared" si="169"/>
        <v>0</v>
      </c>
      <c r="BS80">
        <f t="shared" si="169"/>
        <v>0</v>
      </c>
      <c r="BT80">
        <f t="shared" si="169"/>
        <v>0</v>
      </c>
      <c r="BU80">
        <f t="shared" si="169"/>
        <v>0</v>
      </c>
      <c r="BV80">
        <f t="shared" si="169"/>
        <v>0</v>
      </c>
      <c r="BW80">
        <f t="shared" si="169"/>
        <v>0</v>
      </c>
      <c r="BX80">
        <f t="shared" si="169"/>
        <v>0</v>
      </c>
      <c r="BY80">
        <f t="shared" si="169"/>
        <v>0</v>
      </c>
      <c r="BZ80">
        <f t="shared" si="169"/>
        <v>0</v>
      </c>
      <c r="CA80">
        <f t="shared" si="169"/>
        <v>0</v>
      </c>
      <c r="CB80">
        <f t="shared" si="169"/>
        <v>0</v>
      </c>
      <c r="CC80">
        <f t="shared" si="169"/>
        <v>0</v>
      </c>
      <c r="CD80">
        <f t="shared" si="169"/>
        <v>0</v>
      </c>
      <c r="CE80">
        <f t="shared" si="169"/>
        <v>0</v>
      </c>
      <c r="CF80">
        <f t="shared" si="169"/>
        <v>0</v>
      </c>
      <c r="CG80">
        <f t="shared" si="169"/>
        <v>0</v>
      </c>
      <c r="CH80">
        <f t="shared" si="169"/>
        <v>0</v>
      </c>
      <c r="CI80">
        <f t="shared" si="169"/>
        <v>0</v>
      </c>
      <c r="CJ80">
        <f t="shared" si="169"/>
        <v>0</v>
      </c>
      <c r="CK80">
        <f t="shared" si="169"/>
        <v>0</v>
      </c>
      <c r="CL80">
        <f t="shared" si="169"/>
        <v>0</v>
      </c>
      <c r="CM80">
        <f t="shared" si="169"/>
        <v>0</v>
      </c>
      <c r="CN80">
        <f t="shared" si="169"/>
        <v>0</v>
      </c>
      <c r="CO80">
        <f t="shared" ref="CO80:DN80" si="170">CN81/CN$3</f>
        <v>0</v>
      </c>
      <c r="CP80">
        <f t="shared" si="170"/>
        <v>0</v>
      </c>
      <c r="CQ80">
        <f t="shared" si="170"/>
        <v>0</v>
      </c>
      <c r="CR80">
        <f t="shared" si="170"/>
        <v>0</v>
      </c>
      <c r="CS80">
        <f t="shared" si="170"/>
        <v>0</v>
      </c>
      <c r="CT80">
        <f t="shared" si="170"/>
        <v>0</v>
      </c>
      <c r="CU80">
        <f t="shared" si="170"/>
        <v>0</v>
      </c>
      <c r="CV80">
        <f t="shared" si="170"/>
        <v>0</v>
      </c>
      <c r="CW80">
        <f t="shared" si="170"/>
        <v>0</v>
      </c>
      <c r="CX80">
        <f t="shared" si="170"/>
        <v>0</v>
      </c>
      <c r="CY80">
        <f t="shared" si="170"/>
        <v>0</v>
      </c>
      <c r="CZ80">
        <f t="shared" si="170"/>
        <v>0</v>
      </c>
      <c r="DA80">
        <f t="shared" si="170"/>
        <v>0</v>
      </c>
      <c r="DB80">
        <f t="shared" si="170"/>
        <v>0</v>
      </c>
      <c r="DC80">
        <f t="shared" si="170"/>
        <v>0</v>
      </c>
      <c r="DD80">
        <f t="shared" si="170"/>
        <v>0</v>
      </c>
      <c r="DE80">
        <f t="shared" si="170"/>
        <v>0</v>
      </c>
      <c r="DF80">
        <f t="shared" si="170"/>
        <v>0</v>
      </c>
      <c r="DG80">
        <f t="shared" si="170"/>
        <v>0</v>
      </c>
      <c r="DH80">
        <f t="shared" si="170"/>
        <v>0</v>
      </c>
      <c r="DI80">
        <f t="shared" si="170"/>
        <v>0</v>
      </c>
      <c r="DJ80">
        <f t="shared" si="170"/>
        <v>0</v>
      </c>
      <c r="DK80">
        <f t="shared" si="170"/>
        <v>0</v>
      </c>
      <c r="DL80">
        <f t="shared" si="170"/>
        <v>0</v>
      </c>
      <c r="DM80">
        <f t="shared" si="170"/>
        <v>0</v>
      </c>
      <c r="DN80">
        <f t="shared" si="170"/>
        <v>0</v>
      </c>
    </row>
    <row r="81" spans="1:118" x14ac:dyDescent="0.2">
      <c r="A81">
        <v>77</v>
      </c>
      <c r="B81">
        <v>96</v>
      </c>
      <c r="C81">
        <f t="shared" si="141"/>
        <v>2.3357371680107788E-2</v>
      </c>
      <c r="D81">
        <f t="shared" si="142"/>
        <v>5.4556681180270127E-4</v>
      </c>
      <c r="E81">
        <v>0.30445</v>
      </c>
      <c r="F81">
        <f t="shared" si="137"/>
        <v>0.69555</v>
      </c>
      <c r="G81" s="34">
        <f t="shared" si="146"/>
        <v>1.5475144109640113E-2</v>
      </c>
      <c r="H81" s="34"/>
      <c r="I81">
        <v>872.49468334725111</v>
      </c>
      <c r="J81">
        <v>96</v>
      </c>
      <c r="K81" s="38">
        <f t="shared" si="147"/>
        <v>872.49468334739572</v>
      </c>
      <c r="L81" s="22">
        <f t="shared" si="138"/>
        <v>707.04578143497304</v>
      </c>
      <c r="M81" s="23">
        <f t="shared" si="143"/>
        <v>439.52824054796787</v>
      </c>
      <c r="T81" s="59">
        <v>850.53</v>
      </c>
      <c r="U81">
        <v>0.30445</v>
      </c>
      <c r="V81">
        <v>7.1428571428571425E-2</v>
      </c>
      <c r="W81">
        <v>3.9210560847676823E-2</v>
      </c>
      <c r="Z81">
        <f t="shared" si="150"/>
        <v>0.26073000000000002</v>
      </c>
      <c r="AA81">
        <f t="shared" si="151"/>
        <v>0.73926999999999998</v>
      </c>
      <c r="AB81" s="34">
        <f t="shared" si="154"/>
        <v>3.0983285449266984E-2</v>
      </c>
      <c r="AC81">
        <f t="shared" ref="AC81:CN81" si="171">AB82/AB$3</f>
        <v>2.227172732741136E-2</v>
      </c>
      <c r="AD81">
        <f t="shared" si="171"/>
        <v>1.5507537932789727E-2</v>
      </c>
      <c r="AE81">
        <f t="shared" si="171"/>
        <v>1.0427262917146411E-2</v>
      </c>
      <c r="AF81">
        <f t="shared" si="171"/>
        <v>6.7478077724262798E-3</v>
      </c>
      <c r="AG81">
        <f t="shared" si="171"/>
        <v>4.1872321913355845E-3</v>
      </c>
      <c r="AH81">
        <f t="shared" si="171"/>
        <v>2.4813662562403185E-3</v>
      </c>
      <c r="AI81">
        <f t="shared" si="171"/>
        <v>1.398089994003937E-3</v>
      </c>
      <c r="AJ81">
        <f t="shared" si="171"/>
        <v>7.4532040805046316E-4</v>
      </c>
      <c r="AK81">
        <f t="shared" si="171"/>
        <v>3.7393274415173334E-4</v>
      </c>
      <c r="AL81">
        <f t="shared" si="171"/>
        <v>1.7552602383359754E-4</v>
      </c>
      <c r="AM81">
        <f t="shared" si="171"/>
        <v>7.6595635166341297E-5</v>
      </c>
      <c r="AN81">
        <f t="shared" si="171"/>
        <v>3.0854141763086045E-5</v>
      </c>
      <c r="AO81">
        <f t="shared" si="171"/>
        <v>1.138478579570307E-5</v>
      </c>
      <c r="AP81">
        <f t="shared" si="171"/>
        <v>3.8156100299059917E-6</v>
      </c>
      <c r="AQ81">
        <f t="shared" si="171"/>
        <v>1.1511818939040094E-6</v>
      </c>
      <c r="AR81">
        <f t="shared" si="171"/>
        <v>3.0928807023365158E-7</v>
      </c>
      <c r="AS81">
        <f t="shared" si="171"/>
        <v>0</v>
      </c>
      <c r="AT81">
        <f t="shared" si="171"/>
        <v>0</v>
      </c>
      <c r="AU81">
        <f t="shared" si="171"/>
        <v>0</v>
      </c>
      <c r="AV81">
        <f t="shared" si="171"/>
        <v>0</v>
      </c>
      <c r="AW81">
        <f t="shared" si="171"/>
        <v>0</v>
      </c>
      <c r="AX81">
        <f t="shared" si="171"/>
        <v>0</v>
      </c>
      <c r="AY81">
        <f t="shared" si="171"/>
        <v>0</v>
      </c>
      <c r="AZ81">
        <f t="shared" si="171"/>
        <v>0</v>
      </c>
      <c r="BA81">
        <f t="shared" si="171"/>
        <v>0</v>
      </c>
      <c r="BB81">
        <f t="shared" si="171"/>
        <v>0</v>
      </c>
      <c r="BC81">
        <f t="shared" si="171"/>
        <v>0</v>
      </c>
      <c r="BD81">
        <f t="shared" si="171"/>
        <v>0</v>
      </c>
      <c r="BE81">
        <f t="shared" si="171"/>
        <v>0</v>
      </c>
      <c r="BF81">
        <f t="shared" si="171"/>
        <v>0</v>
      </c>
      <c r="BG81">
        <f t="shared" si="171"/>
        <v>0</v>
      </c>
      <c r="BH81">
        <f t="shared" si="171"/>
        <v>0</v>
      </c>
      <c r="BI81">
        <f t="shared" si="171"/>
        <v>0</v>
      </c>
      <c r="BJ81">
        <f t="shared" si="171"/>
        <v>0</v>
      </c>
      <c r="BK81">
        <f t="shared" si="171"/>
        <v>0</v>
      </c>
      <c r="BL81">
        <f t="shared" si="171"/>
        <v>0</v>
      </c>
      <c r="BM81">
        <f t="shared" si="171"/>
        <v>0</v>
      </c>
      <c r="BN81">
        <f t="shared" si="171"/>
        <v>0</v>
      </c>
      <c r="BO81">
        <f t="shared" si="171"/>
        <v>0</v>
      </c>
      <c r="BP81">
        <f t="shared" si="171"/>
        <v>0</v>
      </c>
      <c r="BQ81">
        <f t="shared" si="171"/>
        <v>0</v>
      </c>
      <c r="BR81">
        <f t="shared" si="171"/>
        <v>0</v>
      </c>
      <c r="BS81">
        <f t="shared" si="171"/>
        <v>0</v>
      </c>
      <c r="BT81">
        <f t="shared" si="171"/>
        <v>0</v>
      </c>
      <c r="BU81">
        <f t="shared" si="171"/>
        <v>0</v>
      </c>
      <c r="BV81">
        <f t="shared" si="171"/>
        <v>0</v>
      </c>
      <c r="BW81">
        <f t="shared" si="171"/>
        <v>0</v>
      </c>
      <c r="BX81">
        <f t="shared" si="171"/>
        <v>0</v>
      </c>
      <c r="BY81">
        <f t="shared" si="171"/>
        <v>0</v>
      </c>
      <c r="BZ81">
        <f t="shared" si="171"/>
        <v>0</v>
      </c>
      <c r="CA81">
        <f t="shared" si="171"/>
        <v>0</v>
      </c>
      <c r="CB81">
        <f t="shared" si="171"/>
        <v>0</v>
      </c>
      <c r="CC81">
        <f t="shared" si="171"/>
        <v>0</v>
      </c>
      <c r="CD81">
        <f t="shared" si="171"/>
        <v>0</v>
      </c>
      <c r="CE81">
        <f t="shared" si="171"/>
        <v>0</v>
      </c>
      <c r="CF81">
        <f t="shared" si="171"/>
        <v>0</v>
      </c>
      <c r="CG81">
        <f t="shared" si="171"/>
        <v>0</v>
      </c>
      <c r="CH81">
        <f t="shared" si="171"/>
        <v>0</v>
      </c>
      <c r="CI81">
        <f t="shared" si="171"/>
        <v>0</v>
      </c>
      <c r="CJ81">
        <f t="shared" si="171"/>
        <v>0</v>
      </c>
      <c r="CK81">
        <f t="shared" si="171"/>
        <v>0</v>
      </c>
      <c r="CL81">
        <f t="shared" si="171"/>
        <v>0</v>
      </c>
      <c r="CM81">
        <f t="shared" si="171"/>
        <v>0</v>
      </c>
      <c r="CN81">
        <f t="shared" si="171"/>
        <v>0</v>
      </c>
      <c r="CO81">
        <f t="shared" ref="CO81:DN81" si="172">CN82/CN$3</f>
        <v>0</v>
      </c>
      <c r="CP81">
        <f t="shared" si="172"/>
        <v>0</v>
      </c>
      <c r="CQ81">
        <f t="shared" si="172"/>
        <v>0</v>
      </c>
      <c r="CR81">
        <f t="shared" si="172"/>
        <v>0</v>
      </c>
      <c r="CS81">
        <f t="shared" si="172"/>
        <v>0</v>
      </c>
      <c r="CT81">
        <f t="shared" si="172"/>
        <v>0</v>
      </c>
      <c r="CU81">
        <f t="shared" si="172"/>
        <v>0</v>
      </c>
      <c r="CV81">
        <f t="shared" si="172"/>
        <v>0</v>
      </c>
      <c r="CW81">
        <f t="shared" si="172"/>
        <v>0</v>
      </c>
      <c r="CX81">
        <f t="shared" si="172"/>
        <v>0</v>
      </c>
      <c r="CY81">
        <f t="shared" si="172"/>
        <v>0</v>
      </c>
      <c r="CZ81">
        <f t="shared" si="172"/>
        <v>0</v>
      </c>
      <c r="DA81">
        <f t="shared" si="172"/>
        <v>0</v>
      </c>
      <c r="DB81">
        <f t="shared" si="172"/>
        <v>0</v>
      </c>
      <c r="DC81">
        <f t="shared" si="172"/>
        <v>0</v>
      </c>
      <c r="DD81">
        <f t="shared" si="172"/>
        <v>0</v>
      </c>
      <c r="DE81">
        <f t="shared" si="172"/>
        <v>0</v>
      </c>
      <c r="DF81">
        <f t="shared" si="172"/>
        <v>0</v>
      </c>
      <c r="DG81">
        <f t="shared" si="172"/>
        <v>0</v>
      </c>
      <c r="DH81">
        <f t="shared" si="172"/>
        <v>0</v>
      </c>
      <c r="DI81">
        <f t="shared" si="172"/>
        <v>0</v>
      </c>
      <c r="DJ81">
        <f t="shared" si="172"/>
        <v>0</v>
      </c>
      <c r="DK81">
        <f t="shared" si="172"/>
        <v>0</v>
      </c>
      <c r="DL81">
        <f t="shared" si="172"/>
        <v>0</v>
      </c>
      <c r="DM81">
        <f t="shared" si="172"/>
        <v>0</v>
      </c>
      <c r="DN81">
        <f t="shared" si="172"/>
        <v>0</v>
      </c>
    </row>
    <row r="82" spans="1:118" x14ac:dyDescent="0.2">
      <c r="A82">
        <v>78</v>
      </c>
      <c r="B82">
        <v>97</v>
      </c>
      <c r="C82">
        <f t="shared" si="141"/>
        <v>2.224511588581694E-2</v>
      </c>
      <c r="D82">
        <f t="shared" si="142"/>
        <v>4.9484518077342514E-4</v>
      </c>
      <c r="E82">
        <v>0.32833999999999997</v>
      </c>
      <c r="F82">
        <f t="shared" si="137"/>
        <v>0.67166000000000003</v>
      </c>
      <c r="G82" s="34">
        <f t="shared" si="146"/>
        <v>1.0394035292680879E-2</v>
      </c>
      <c r="H82" s="34"/>
      <c r="I82">
        <v>879.40395013243256</v>
      </c>
      <c r="J82">
        <v>97</v>
      </c>
      <c r="K82" s="38">
        <f t="shared" si="147"/>
        <v>879.40395013265129</v>
      </c>
      <c r="L82" s="22">
        <f t="shared" si="138"/>
        <v>722.58253746877745</v>
      </c>
      <c r="M82" s="23">
        <f t="shared" si="143"/>
        <v>439.52824054796787</v>
      </c>
      <c r="T82" s="60">
        <v>858.48</v>
      </c>
      <c r="U82">
        <v>0.32833999999999997</v>
      </c>
      <c r="V82">
        <v>7.6923076923076927E-2</v>
      </c>
      <c r="W82">
        <v>3.9210560847676823E-2</v>
      </c>
      <c r="Z82">
        <f t="shared" si="150"/>
        <v>0.28191000000000005</v>
      </c>
      <c r="AA82">
        <f t="shared" si="151"/>
        <v>0.7180899999999999</v>
      </c>
      <c r="AB82" s="34">
        <f t="shared" si="154"/>
        <v>2.2248787448264126E-2</v>
      </c>
      <c r="AC82">
        <f t="shared" ref="AC82:CN82" si="173">AB83/AB$3</f>
        <v>1.5491099942580971E-2</v>
      </c>
      <c r="AD82">
        <f t="shared" si="173"/>
        <v>1.041579292793755E-2</v>
      </c>
      <c r="AE82">
        <f t="shared" si="173"/>
        <v>6.7401827496434384E-3</v>
      </c>
      <c r="AF82">
        <f t="shared" si="173"/>
        <v>4.1822912573498084E-3</v>
      </c>
      <c r="AG82">
        <f t="shared" si="173"/>
        <v>2.4783389894077051E-3</v>
      </c>
      <c r="AH82">
        <f t="shared" si="173"/>
        <v>1.396314419711552E-3</v>
      </c>
      <c r="AI82">
        <f t="shared" si="173"/>
        <v>7.4432913190775605E-4</v>
      </c>
      <c r="AJ82">
        <f t="shared" si="173"/>
        <v>3.7341297763736244E-4</v>
      </c>
      <c r="AK82">
        <f t="shared" si="173"/>
        <v>1.7526975583880049E-4</v>
      </c>
      <c r="AL82">
        <f t="shared" si="173"/>
        <v>7.6478443844536789E-5</v>
      </c>
      <c r="AM82">
        <f t="shared" si="173"/>
        <v>3.0804466594847474E-5</v>
      </c>
      <c r="AN82">
        <f t="shared" si="173"/>
        <v>1.1365431659850375E-5</v>
      </c>
      <c r="AO82">
        <f t="shared" si="173"/>
        <v>3.8087800879524599E-6</v>
      </c>
      <c r="AP82">
        <f t="shared" si="173"/>
        <v>1.1489946483055917E-6</v>
      </c>
      <c r="AQ82">
        <f t="shared" si="173"/>
        <v>3.0866640121248197E-7</v>
      </c>
      <c r="AR82">
        <f t="shared" si="173"/>
        <v>0</v>
      </c>
      <c r="AS82">
        <f t="shared" si="173"/>
        <v>0</v>
      </c>
      <c r="AT82">
        <f t="shared" si="173"/>
        <v>0</v>
      </c>
      <c r="AU82">
        <f t="shared" si="173"/>
        <v>0</v>
      </c>
      <c r="AV82">
        <f t="shared" si="173"/>
        <v>0</v>
      </c>
      <c r="AW82">
        <f t="shared" si="173"/>
        <v>0</v>
      </c>
      <c r="AX82">
        <f t="shared" si="173"/>
        <v>0</v>
      </c>
      <c r="AY82">
        <f t="shared" si="173"/>
        <v>0</v>
      </c>
      <c r="AZ82">
        <f t="shared" si="173"/>
        <v>0</v>
      </c>
      <c r="BA82">
        <f t="shared" si="173"/>
        <v>0</v>
      </c>
      <c r="BB82">
        <f t="shared" si="173"/>
        <v>0</v>
      </c>
      <c r="BC82">
        <f t="shared" si="173"/>
        <v>0</v>
      </c>
      <c r="BD82">
        <f t="shared" si="173"/>
        <v>0</v>
      </c>
      <c r="BE82">
        <f t="shared" si="173"/>
        <v>0</v>
      </c>
      <c r="BF82">
        <f t="shared" si="173"/>
        <v>0</v>
      </c>
      <c r="BG82">
        <f t="shared" si="173"/>
        <v>0</v>
      </c>
      <c r="BH82">
        <f t="shared" si="173"/>
        <v>0</v>
      </c>
      <c r="BI82">
        <f t="shared" si="173"/>
        <v>0</v>
      </c>
      <c r="BJ82">
        <f t="shared" si="173"/>
        <v>0</v>
      </c>
      <c r="BK82">
        <f t="shared" si="173"/>
        <v>0</v>
      </c>
      <c r="BL82">
        <f t="shared" si="173"/>
        <v>0</v>
      </c>
      <c r="BM82">
        <f t="shared" si="173"/>
        <v>0</v>
      </c>
      <c r="BN82">
        <f t="shared" si="173"/>
        <v>0</v>
      </c>
      <c r="BO82">
        <f t="shared" si="173"/>
        <v>0</v>
      </c>
      <c r="BP82">
        <f t="shared" si="173"/>
        <v>0</v>
      </c>
      <c r="BQ82">
        <f t="shared" si="173"/>
        <v>0</v>
      </c>
      <c r="BR82">
        <f t="shared" si="173"/>
        <v>0</v>
      </c>
      <c r="BS82">
        <f t="shared" si="173"/>
        <v>0</v>
      </c>
      <c r="BT82">
        <f t="shared" si="173"/>
        <v>0</v>
      </c>
      <c r="BU82">
        <f t="shared" si="173"/>
        <v>0</v>
      </c>
      <c r="BV82">
        <f t="shared" si="173"/>
        <v>0</v>
      </c>
      <c r="BW82">
        <f t="shared" si="173"/>
        <v>0</v>
      </c>
      <c r="BX82">
        <f t="shared" si="173"/>
        <v>0</v>
      </c>
      <c r="BY82">
        <f t="shared" si="173"/>
        <v>0</v>
      </c>
      <c r="BZ82">
        <f t="shared" si="173"/>
        <v>0</v>
      </c>
      <c r="CA82">
        <f t="shared" si="173"/>
        <v>0</v>
      </c>
      <c r="CB82">
        <f t="shared" si="173"/>
        <v>0</v>
      </c>
      <c r="CC82">
        <f t="shared" si="173"/>
        <v>0</v>
      </c>
      <c r="CD82">
        <f t="shared" si="173"/>
        <v>0</v>
      </c>
      <c r="CE82">
        <f t="shared" si="173"/>
        <v>0</v>
      </c>
      <c r="CF82">
        <f t="shared" si="173"/>
        <v>0</v>
      </c>
      <c r="CG82">
        <f t="shared" si="173"/>
        <v>0</v>
      </c>
      <c r="CH82">
        <f t="shared" si="173"/>
        <v>0</v>
      </c>
      <c r="CI82">
        <f t="shared" si="173"/>
        <v>0</v>
      </c>
      <c r="CJ82">
        <f t="shared" si="173"/>
        <v>0</v>
      </c>
      <c r="CK82">
        <f t="shared" si="173"/>
        <v>0</v>
      </c>
      <c r="CL82">
        <f t="shared" si="173"/>
        <v>0</v>
      </c>
      <c r="CM82">
        <f t="shared" si="173"/>
        <v>0</v>
      </c>
      <c r="CN82">
        <f t="shared" si="173"/>
        <v>0</v>
      </c>
      <c r="CO82">
        <f t="shared" ref="CO82:DN82" si="174">CN83/CN$3</f>
        <v>0</v>
      </c>
      <c r="CP82">
        <f t="shared" si="174"/>
        <v>0</v>
      </c>
      <c r="CQ82">
        <f t="shared" si="174"/>
        <v>0</v>
      </c>
      <c r="CR82">
        <f t="shared" si="174"/>
        <v>0</v>
      </c>
      <c r="CS82">
        <f t="shared" si="174"/>
        <v>0</v>
      </c>
      <c r="CT82">
        <f t="shared" si="174"/>
        <v>0</v>
      </c>
      <c r="CU82">
        <f t="shared" si="174"/>
        <v>0</v>
      </c>
      <c r="CV82">
        <f t="shared" si="174"/>
        <v>0</v>
      </c>
      <c r="CW82">
        <f t="shared" si="174"/>
        <v>0</v>
      </c>
      <c r="CX82">
        <f t="shared" si="174"/>
        <v>0</v>
      </c>
      <c r="CY82">
        <f t="shared" si="174"/>
        <v>0</v>
      </c>
      <c r="CZ82">
        <f t="shared" si="174"/>
        <v>0</v>
      </c>
      <c r="DA82">
        <f t="shared" si="174"/>
        <v>0</v>
      </c>
      <c r="DB82">
        <f t="shared" si="174"/>
        <v>0</v>
      </c>
      <c r="DC82">
        <f t="shared" si="174"/>
        <v>0</v>
      </c>
      <c r="DD82">
        <f t="shared" si="174"/>
        <v>0</v>
      </c>
      <c r="DE82">
        <f t="shared" si="174"/>
        <v>0</v>
      </c>
      <c r="DF82">
        <f t="shared" si="174"/>
        <v>0</v>
      </c>
      <c r="DG82">
        <f t="shared" si="174"/>
        <v>0</v>
      </c>
      <c r="DH82">
        <f t="shared" si="174"/>
        <v>0</v>
      </c>
      <c r="DI82">
        <f t="shared" si="174"/>
        <v>0</v>
      </c>
      <c r="DJ82">
        <f t="shared" si="174"/>
        <v>0</v>
      </c>
      <c r="DK82">
        <f t="shared" si="174"/>
        <v>0</v>
      </c>
      <c r="DL82">
        <f t="shared" si="174"/>
        <v>0</v>
      </c>
      <c r="DM82">
        <f t="shared" si="174"/>
        <v>0</v>
      </c>
      <c r="DN82">
        <f t="shared" si="174"/>
        <v>0</v>
      </c>
    </row>
    <row r="83" spans="1:118" x14ac:dyDescent="0.2">
      <c r="A83">
        <v>79</v>
      </c>
      <c r="B83">
        <v>98</v>
      </c>
      <c r="C83">
        <f t="shared" si="141"/>
        <v>2.1185824653158991E-2</v>
      </c>
      <c r="D83">
        <f t="shared" si="142"/>
        <v>4.4883916623439927E-4</v>
      </c>
      <c r="E83">
        <v>0.35360000000000003</v>
      </c>
      <c r="F83">
        <f t="shared" si="137"/>
        <v>0.64639999999999997</v>
      </c>
      <c r="G83" s="34">
        <f t="shared" si="146"/>
        <v>6.7187044131889195E-3</v>
      </c>
      <c r="H83" s="34"/>
      <c r="I83">
        <v>885.91571276993432</v>
      </c>
      <c r="J83">
        <v>98</v>
      </c>
      <c r="K83" s="38">
        <f t="shared" si="147"/>
        <v>885.91571277027629</v>
      </c>
      <c r="L83" s="22">
        <f t="shared" si="138"/>
        <v>738.60430303740088</v>
      </c>
      <c r="M83" s="23">
        <f t="shared" si="143"/>
        <v>439.52824054796787</v>
      </c>
      <c r="T83" s="60">
        <v>865.99</v>
      </c>
      <c r="U83">
        <v>0.35360000000000003</v>
      </c>
      <c r="V83">
        <v>8.3333333333333329E-2</v>
      </c>
      <c r="W83">
        <v>3.9210560847676823E-2</v>
      </c>
      <c r="Z83">
        <f t="shared" si="150"/>
        <v>0.30445</v>
      </c>
      <c r="AA83">
        <f t="shared" si="151"/>
        <v>0.69555</v>
      </c>
      <c r="AB83" s="34">
        <f t="shared" si="154"/>
        <v>1.5475144109640113E-2</v>
      </c>
      <c r="AC83">
        <f t="shared" ref="AC83:CN83" si="175">AB84/AB$3</f>
        <v>1.0404752187433936E-2</v>
      </c>
      <c r="AD83">
        <f t="shared" si="175"/>
        <v>6.732768548618831E-3</v>
      </c>
      <c r="AE83">
        <f t="shared" si="175"/>
        <v>4.1775652682290035E-3</v>
      </c>
      <c r="AF83">
        <f t="shared" si="175"/>
        <v>2.4754145494002041E-3</v>
      </c>
      <c r="AG83">
        <f t="shared" si="175"/>
        <v>1.3946109161195039E-3</v>
      </c>
      <c r="AH83">
        <f t="shared" si="175"/>
        <v>7.4338383391023321E-4</v>
      </c>
      <c r="AI83">
        <f t="shared" si="175"/>
        <v>3.7291633837710476E-4</v>
      </c>
      <c r="AJ83">
        <f t="shared" si="175"/>
        <v>1.7502613087818457E-4</v>
      </c>
      <c r="AK83">
        <f t="shared" si="175"/>
        <v>7.6366785316523759E-5</v>
      </c>
      <c r="AL83">
        <f t="shared" si="175"/>
        <v>3.0757335760957358E-5</v>
      </c>
      <c r="AM83">
        <f t="shared" si="175"/>
        <v>1.1347133314878015E-5</v>
      </c>
      <c r="AN83">
        <f t="shared" si="175"/>
        <v>3.8023051618029406E-6</v>
      </c>
      <c r="AO83">
        <f t="shared" si="175"/>
        <v>1.1469379478851247E-6</v>
      </c>
      <c r="AP83">
        <f t="shared" si="175"/>
        <v>3.0807993505017825E-7</v>
      </c>
      <c r="AQ83">
        <f t="shared" si="175"/>
        <v>0</v>
      </c>
      <c r="AR83">
        <f t="shared" si="175"/>
        <v>0</v>
      </c>
      <c r="AS83">
        <f t="shared" si="175"/>
        <v>0</v>
      </c>
      <c r="AT83">
        <f t="shared" si="175"/>
        <v>0</v>
      </c>
      <c r="AU83">
        <f t="shared" si="175"/>
        <v>0</v>
      </c>
      <c r="AV83">
        <f t="shared" si="175"/>
        <v>0</v>
      </c>
      <c r="AW83">
        <f t="shared" si="175"/>
        <v>0</v>
      </c>
      <c r="AX83">
        <f t="shared" si="175"/>
        <v>0</v>
      </c>
      <c r="AY83">
        <f t="shared" si="175"/>
        <v>0</v>
      </c>
      <c r="AZ83">
        <f t="shared" si="175"/>
        <v>0</v>
      </c>
      <c r="BA83">
        <f t="shared" si="175"/>
        <v>0</v>
      </c>
      <c r="BB83">
        <f t="shared" si="175"/>
        <v>0</v>
      </c>
      <c r="BC83">
        <f t="shared" si="175"/>
        <v>0</v>
      </c>
      <c r="BD83">
        <f t="shared" si="175"/>
        <v>0</v>
      </c>
      <c r="BE83">
        <f t="shared" si="175"/>
        <v>0</v>
      </c>
      <c r="BF83">
        <f t="shared" si="175"/>
        <v>0</v>
      </c>
      <c r="BG83">
        <f t="shared" si="175"/>
        <v>0</v>
      </c>
      <c r="BH83">
        <f t="shared" si="175"/>
        <v>0</v>
      </c>
      <c r="BI83">
        <f t="shared" si="175"/>
        <v>0</v>
      </c>
      <c r="BJ83">
        <f t="shared" si="175"/>
        <v>0</v>
      </c>
      <c r="BK83">
        <f t="shared" si="175"/>
        <v>0</v>
      </c>
      <c r="BL83">
        <f t="shared" si="175"/>
        <v>0</v>
      </c>
      <c r="BM83">
        <f t="shared" si="175"/>
        <v>0</v>
      </c>
      <c r="BN83">
        <f t="shared" si="175"/>
        <v>0</v>
      </c>
      <c r="BO83">
        <f t="shared" si="175"/>
        <v>0</v>
      </c>
      <c r="BP83">
        <f t="shared" si="175"/>
        <v>0</v>
      </c>
      <c r="BQ83">
        <f t="shared" si="175"/>
        <v>0</v>
      </c>
      <c r="BR83">
        <f t="shared" si="175"/>
        <v>0</v>
      </c>
      <c r="BS83">
        <f t="shared" si="175"/>
        <v>0</v>
      </c>
      <c r="BT83">
        <f t="shared" si="175"/>
        <v>0</v>
      </c>
      <c r="BU83">
        <f t="shared" si="175"/>
        <v>0</v>
      </c>
      <c r="BV83">
        <f t="shared" si="175"/>
        <v>0</v>
      </c>
      <c r="BW83">
        <f t="shared" si="175"/>
        <v>0</v>
      </c>
      <c r="BX83">
        <f t="shared" si="175"/>
        <v>0</v>
      </c>
      <c r="BY83">
        <f t="shared" si="175"/>
        <v>0</v>
      </c>
      <c r="BZ83">
        <f t="shared" si="175"/>
        <v>0</v>
      </c>
      <c r="CA83">
        <f t="shared" si="175"/>
        <v>0</v>
      </c>
      <c r="CB83">
        <f t="shared" si="175"/>
        <v>0</v>
      </c>
      <c r="CC83">
        <f t="shared" si="175"/>
        <v>0</v>
      </c>
      <c r="CD83">
        <f t="shared" si="175"/>
        <v>0</v>
      </c>
      <c r="CE83">
        <f t="shared" si="175"/>
        <v>0</v>
      </c>
      <c r="CF83">
        <f t="shared" si="175"/>
        <v>0</v>
      </c>
      <c r="CG83">
        <f t="shared" si="175"/>
        <v>0</v>
      </c>
      <c r="CH83">
        <f t="shared" si="175"/>
        <v>0</v>
      </c>
      <c r="CI83">
        <f t="shared" si="175"/>
        <v>0</v>
      </c>
      <c r="CJ83">
        <f t="shared" si="175"/>
        <v>0</v>
      </c>
      <c r="CK83">
        <f t="shared" si="175"/>
        <v>0</v>
      </c>
      <c r="CL83">
        <f t="shared" si="175"/>
        <v>0</v>
      </c>
      <c r="CM83">
        <f t="shared" si="175"/>
        <v>0</v>
      </c>
      <c r="CN83">
        <f t="shared" si="175"/>
        <v>0</v>
      </c>
      <c r="CO83">
        <f t="shared" ref="CO83:DN83" si="176">CN84/CN$3</f>
        <v>0</v>
      </c>
      <c r="CP83">
        <f t="shared" si="176"/>
        <v>0</v>
      </c>
      <c r="CQ83">
        <f t="shared" si="176"/>
        <v>0</v>
      </c>
      <c r="CR83">
        <f t="shared" si="176"/>
        <v>0</v>
      </c>
      <c r="CS83">
        <f t="shared" si="176"/>
        <v>0</v>
      </c>
      <c r="CT83">
        <f t="shared" si="176"/>
        <v>0</v>
      </c>
      <c r="CU83">
        <f t="shared" si="176"/>
        <v>0</v>
      </c>
      <c r="CV83">
        <f t="shared" si="176"/>
        <v>0</v>
      </c>
      <c r="CW83">
        <f t="shared" si="176"/>
        <v>0</v>
      </c>
      <c r="CX83">
        <f t="shared" si="176"/>
        <v>0</v>
      </c>
      <c r="CY83">
        <f t="shared" si="176"/>
        <v>0</v>
      </c>
      <c r="CZ83">
        <f t="shared" si="176"/>
        <v>0</v>
      </c>
      <c r="DA83">
        <f t="shared" si="176"/>
        <v>0</v>
      </c>
      <c r="DB83">
        <f t="shared" si="176"/>
        <v>0</v>
      </c>
      <c r="DC83">
        <f t="shared" si="176"/>
        <v>0</v>
      </c>
      <c r="DD83">
        <f t="shared" si="176"/>
        <v>0</v>
      </c>
      <c r="DE83">
        <f t="shared" si="176"/>
        <v>0</v>
      </c>
      <c r="DF83">
        <f t="shared" si="176"/>
        <v>0</v>
      </c>
      <c r="DG83">
        <f t="shared" si="176"/>
        <v>0</v>
      </c>
      <c r="DH83">
        <f t="shared" si="176"/>
        <v>0</v>
      </c>
      <c r="DI83">
        <f t="shared" si="176"/>
        <v>0</v>
      </c>
      <c r="DJ83">
        <f t="shared" si="176"/>
        <v>0</v>
      </c>
      <c r="DK83">
        <f t="shared" si="176"/>
        <v>0</v>
      </c>
      <c r="DL83">
        <f t="shared" si="176"/>
        <v>0</v>
      </c>
      <c r="DM83">
        <f t="shared" si="176"/>
        <v>0</v>
      </c>
      <c r="DN83">
        <f t="shared" si="176"/>
        <v>0</v>
      </c>
    </row>
    <row r="84" spans="1:118" x14ac:dyDescent="0.2">
      <c r="A84">
        <v>80</v>
      </c>
      <c r="B84">
        <v>99</v>
      </c>
      <c r="C84">
        <f t="shared" si="141"/>
        <v>2.0176975860151419E-2</v>
      </c>
      <c r="D84">
        <f t="shared" si="142"/>
        <v>4.0711035486113307E-4</v>
      </c>
      <c r="E84">
        <v>0.38019999999999998</v>
      </c>
      <c r="F84">
        <f t="shared" si="137"/>
        <v>0.61980000000000002</v>
      </c>
      <c r="G84" s="34">
        <f t="shared" si="146"/>
        <v>4.164252995294492E-3</v>
      </c>
      <c r="H84" s="34"/>
      <c r="I84">
        <v>892.03511511205295</v>
      </c>
      <c r="J84">
        <v>99</v>
      </c>
      <c r="K84" s="38">
        <f t="shared" si="147"/>
        <v>892.03511511260865</v>
      </c>
      <c r="L84" s="22">
        <f t="shared" si="138"/>
        <v>755.12856529738656</v>
      </c>
      <c r="M84" s="23">
        <f t="shared" si="143"/>
        <v>439.52824054796787</v>
      </c>
      <c r="T84" s="60">
        <v>873.06</v>
      </c>
      <c r="U84">
        <v>0.38019999999999998</v>
      </c>
      <c r="V84">
        <v>9.0909090909090912E-2</v>
      </c>
      <c r="W84">
        <v>3.9210560847676823E-2</v>
      </c>
      <c r="Z84">
        <f t="shared" si="150"/>
        <v>0.32833999999999997</v>
      </c>
      <c r="AA84">
        <f t="shared" si="151"/>
        <v>0.67166000000000003</v>
      </c>
      <c r="AB84" s="34">
        <f t="shared" si="154"/>
        <v>1.0394035292680879E-2</v>
      </c>
      <c r="AC84">
        <f t="shared" ref="AC84:CN84" si="177">AB85/AB$3</f>
        <v>6.7256318139572958E-3</v>
      </c>
      <c r="AD84">
        <f t="shared" si="177"/>
        <v>4.1729699464339515E-3</v>
      </c>
      <c r="AE84">
        <f t="shared" si="177"/>
        <v>2.4726173309593822E-3</v>
      </c>
      <c r="AF84">
        <f t="shared" si="177"/>
        <v>1.392965275238483E-3</v>
      </c>
      <c r="AG84">
        <f t="shared" si="177"/>
        <v>7.424769056328627E-4</v>
      </c>
      <c r="AH84">
        <f t="shared" si="177"/>
        <v>3.7244273462736584E-4</v>
      </c>
      <c r="AI84">
        <f t="shared" si="177"/>
        <v>1.7479334612411658E-4</v>
      </c>
      <c r="AJ84">
        <f t="shared" si="177"/>
        <v>7.6260635484933791E-5</v>
      </c>
      <c r="AK84">
        <f t="shared" si="177"/>
        <v>3.0712430050746357E-5</v>
      </c>
      <c r="AL84">
        <f t="shared" si="177"/>
        <v>1.1329772200906252E-5</v>
      </c>
      <c r="AM84">
        <f t="shared" si="177"/>
        <v>3.7961834504924379E-6</v>
      </c>
      <c r="AN84">
        <f t="shared" si="177"/>
        <v>1.14498815337372E-6</v>
      </c>
      <c r="AO84">
        <f t="shared" si="177"/>
        <v>3.0752847196643845E-7</v>
      </c>
      <c r="AP84">
        <f t="shared" si="177"/>
        <v>0</v>
      </c>
      <c r="AQ84">
        <f t="shared" si="177"/>
        <v>0</v>
      </c>
      <c r="AR84">
        <f t="shared" si="177"/>
        <v>0</v>
      </c>
      <c r="AS84">
        <f t="shared" si="177"/>
        <v>0</v>
      </c>
      <c r="AT84">
        <f t="shared" si="177"/>
        <v>0</v>
      </c>
      <c r="AU84">
        <f t="shared" si="177"/>
        <v>0</v>
      </c>
      <c r="AV84">
        <f t="shared" si="177"/>
        <v>0</v>
      </c>
      <c r="AW84">
        <f t="shared" si="177"/>
        <v>0</v>
      </c>
      <c r="AX84">
        <f t="shared" si="177"/>
        <v>0</v>
      </c>
      <c r="AY84">
        <f t="shared" si="177"/>
        <v>0</v>
      </c>
      <c r="AZ84">
        <f t="shared" si="177"/>
        <v>0</v>
      </c>
      <c r="BA84">
        <f t="shared" si="177"/>
        <v>0</v>
      </c>
      <c r="BB84">
        <f t="shared" si="177"/>
        <v>0</v>
      </c>
      <c r="BC84">
        <f t="shared" si="177"/>
        <v>0</v>
      </c>
      <c r="BD84">
        <f t="shared" si="177"/>
        <v>0</v>
      </c>
      <c r="BE84">
        <f t="shared" si="177"/>
        <v>0</v>
      </c>
      <c r="BF84">
        <f t="shared" si="177"/>
        <v>0</v>
      </c>
      <c r="BG84">
        <f t="shared" si="177"/>
        <v>0</v>
      </c>
      <c r="BH84">
        <f t="shared" si="177"/>
        <v>0</v>
      </c>
      <c r="BI84">
        <f t="shared" si="177"/>
        <v>0</v>
      </c>
      <c r="BJ84">
        <f t="shared" si="177"/>
        <v>0</v>
      </c>
      <c r="BK84">
        <f t="shared" si="177"/>
        <v>0</v>
      </c>
      <c r="BL84">
        <f t="shared" si="177"/>
        <v>0</v>
      </c>
      <c r="BM84">
        <f t="shared" si="177"/>
        <v>0</v>
      </c>
      <c r="BN84">
        <f t="shared" si="177"/>
        <v>0</v>
      </c>
      <c r="BO84">
        <f t="shared" si="177"/>
        <v>0</v>
      </c>
      <c r="BP84">
        <f t="shared" si="177"/>
        <v>0</v>
      </c>
      <c r="BQ84">
        <f t="shared" si="177"/>
        <v>0</v>
      </c>
      <c r="BR84">
        <f t="shared" si="177"/>
        <v>0</v>
      </c>
      <c r="BS84">
        <f t="shared" si="177"/>
        <v>0</v>
      </c>
      <c r="BT84">
        <f t="shared" si="177"/>
        <v>0</v>
      </c>
      <c r="BU84">
        <f t="shared" si="177"/>
        <v>0</v>
      </c>
      <c r="BV84">
        <f t="shared" si="177"/>
        <v>0</v>
      </c>
      <c r="BW84">
        <f t="shared" si="177"/>
        <v>0</v>
      </c>
      <c r="BX84">
        <f t="shared" si="177"/>
        <v>0</v>
      </c>
      <c r="BY84">
        <f t="shared" si="177"/>
        <v>0</v>
      </c>
      <c r="BZ84">
        <f t="shared" si="177"/>
        <v>0</v>
      </c>
      <c r="CA84">
        <f t="shared" si="177"/>
        <v>0</v>
      </c>
      <c r="CB84">
        <f t="shared" si="177"/>
        <v>0</v>
      </c>
      <c r="CC84">
        <f t="shared" si="177"/>
        <v>0</v>
      </c>
      <c r="CD84">
        <f t="shared" si="177"/>
        <v>0</v>
      </c>
      <c r="CE84">
        <f t="shared" si="177"/>
        <v>0</v>
      </c>
      <c r="CF84">
        <f t="shared" si="177"/>
        <v>0</v>
      </c>
      <c r="CG84">
        <f t="shared" si="177"/>
        <v>0</v>
      </c>
      <c r="CH84">
        <f t="shared" si="177"/>
        <v>0</v>
      </c>
      <c r="CI84">
        <f t="shared" si="177"/>
        <v>0</v>
      </c>
      <c r="CJ84">
        <f t="shared" si="177"/>
        <v>0</v>
      </c>
      <c r="CK84">
        <f t="shared" si="177"/>
        <v>0</v>
      </c>
      <c r="CL84">
        <f t="shared" si="177"/>
        <v>0</v>
      </c>
      <c r="CM84">
        <f t="shared" si="177"/>
        <v>0</v>
      </c>
      <c r="CN84">
        <f t="shared" si="177"/>
        <v>0</v>
      </c>
      <c r="CO84">
        <f t="shared" ref="CO84:DN84" si="178">CN85/CN$3</f>
        <v>0</v>
      </c>
      <c r="CP84">
        <f t="shared" si="178"/>
        <v>0</v>
      </c>
      <c r="CQ84">
        <f t="shared" si="178"/>
        <v>0</v>
      </c>
      <c r="CR84">
        <f t="shared" si="178"/>
        <v>0</v>
      </c>
      <c r="CS84">
        <f t="shared" si="178"/>
        <v>0</v>
      </c>
      <c r="CT84">
        <f t="shared" si="178"/>
        <v>0</v>
      </c>
      <c r="CU84">
        <f t="shared" si="178"/>
        <v>0</v>
      </c>
      <c r="CV84">
        <f t="shared" si="178"/>
        <v>0</v>
      </c>
      <c r="CW84">
        <f t="shared" si="178"/>
        <v>0</v>
      </c>
      <c r="CX84">
        <f t="shared" si="178"/>
        <v>0</v>
      </c>
      <c r="CY84">
        <f t="shared" si="178"/>
        <v>0</v>
      </c>
      <c r="CZ84">
        <f t="shared" si="178"/>
        <v>0</v>
      </c>
      <c r="DA84">
        <f t="shared" si="178"/>
        <v>0</v>
      </c>
      <c r="DB84">
        <f t="shared" si="178"/>
        <v>0</v>
      </c>
      <c r="DC84">
        <f t="shared" si="178"/>
        <v>0</v>
      </c>
      <c r="DD84">
        <f t="shared" si="178"/>
        <v>0</v>
      </c>
      <c r="DE84">
        <f t="shared" si="178"/>
        <v>0</v>
      </c>
      <c r="DF84">
        <f t="shared" si="178"/>
        <v>0</v>
      </c>
      <c r="DG84">
        <f t="shared" si="178"/>
        <v>0</v>
      </c>
      <c r="DH84">
        <f t="shared" si="178"/>
        <v>0</v>
      </c>
      <c r="DI84">
        <f t="shared" si="178"/>
        <v>0</v>
      </c>
      <c r="DJ84">
        <f t="shared" si="178"/>
        <v>0</v>
      </c>
      <c r="DK84">
        <f t="shared" si="178"/>
        <v>0</v>
      </c>
      <c r="DL84">
        <f t="shared" si="178"/>
        <v>0</v>
      </c>
      <c r="DM84">
        <f t="shared" si="178"/>
        <v>0</v>
      </c>
      <c r="DN84">
        <f t="shared" si="178"/>
        <v>0</v>
      </c>
    </row>
    <row r="85" spans="1:118" x14ac:dyDescent="0.2">
      <c r="A85">
        <v>81</v>
      </c>
      <c r="B85">
        <v>100</v>
      </c>
      <c r="C85">
        <f t="shared" si="141"/>
        <v>1.9216167485858495E-2</v>
      </c>
      <c r="D85">
        <f t="shared" si="142"/>
        <v>3.6926109284456522E-4</v>
      </c>
      <c r="E85">
        <v>0.40811999999999998</v>
      </c>
      <c r="F85">
        <f t="shared" si="137"/>
        <v>0.59187999999999996</v>
      </c>
      <c r="G85" s="34">
        <f t="shared" si="146"/>
        <v>2.4647380628549037E-3</v>
      </c>
      <c r="H85" s="34"/>
      <c r="I85">
        <v>897.76842669837959</v>
      </c>
      <c r="J85">
        <v>100</v>
      </c>
      <c r="K85" s="38">
        <f t="shared" si="147"/>
        <v>897.76842669932103</v>
      </c>
      <c r="L85" s="22">
        <f t="shared" si="138"/>
        <v>772.17349291848132</v>
      </c>
      <c r="M85" s="23">
        <f t="shared" si="143"/>
        <v>439.52824054796787</v>
      </c>
      <c r="T85" s="58">
        <v>879.7</v>
      </c>
      <c r="U85">
        <v>0.40811999999999998</v>
      </c>
      <c r="V85">
        <v>0.1</v>
      </c>
      <c r="W85">
        <v>3.9210560847676823E-2</v>
      </c>
      <c r="Z85">
        <f t="shared" si="150"/>
        <v>0.35360000000000003</v>
      </c>
      <c r="AA85">
        <f t="shared" si="151"/>
        <v>0.64639999999999997</v>
      </c>
      <c r="AB85" s="34">
        <f t="shared" si="154"/>
        <v>6.7187044131889195E-3</v>
      </c>
      <c r="AC85">
        <f t="shared" ref="AC85:CN85" si="179">AB86/AB$3</f>
        <v>4.1685465982907316E-3</v>
      </c>
      <c r="AD85">
        <f t="shared" si="179"/>
        <v>2.4698974518953267E-3</v>
      </c>
      <c r="AE85">
        <f t="shared" si="179"/>
        <v>1.3913912244774636E-3</v>
      </c>
      <c r="AF85">
        <f t="shared" si="179"/>
        <v>7.4160078288421593E-4</v>
      </c>
      <c r="AG85">
        <f t="shared" si="179"/>
        <v>3.7198835449112045E-4</v>
      </c>
      <c r="AH85">
        <f t="shared" si="179"/>
        <v>1.7457135857453895E-4</v>
      </c>
      <c r="AI85">
        <f t="shared" si="179"/>
        <v>7.6159208839738824E-5</v>
      </c>
      <c r="AJ85">
        <f t="shared" si="179"/>
        <v>3.0669739772975822E-5</v>
      </c>
      <c r="AK85">
        <f t="shared" si="179"/>
        <v>1.1313230733492928E-5</v>
      </c>
      <c r="AL85">
        <f t="shared" si="179"/>
        <v>3.7903752898131844E-6</v>
      </c>
      <c r="AM85">
        <f t="shared" si="179"/>
        <v>1.1431447224467882E-6</v>
      </c>
      <c r="AN85">
        <f t="shared" si="179"/>
        <v>3.0700567356409548E-7</v>
      </c>
      <c r="AO85">
        <f t="shared" si="179"/>
        <v>0</v>
      </c>
      <c r="AP85">
        <f t="shared" si="179"/>
        <v>0</v>
      </c>
      <c r="AQ85">
        <f t="shared" si="179"/>
        <v>0</v>
      </c>
      <c r="AR85">
        <f t="shared" si="179"/>
        <v>0</v>
      </c>
      <c r="AS85">
        <f t="shared" si="179"/>
        <v>0</v>
      </c>
      <c r="AT85">
        <f t="shared" si="179"/>
        <v>0</v>
      </c>
      <c r="AU85">
        <f t="shared" si="179"/>
        <v>0</v>
      </c>
      <c r="AV85">
        <f t="shared" si="179"/>
        <v>0</v>
      </c>
      <c r="AW85">
        <f t="shared" si="179"/>
        <v>0</v>
      </c>
      <c r="AX85">
        <f t="shared" si="179"/>
        <v>0</v>
      </c>
      <c r="AY85">
        <f t="shared" si="179"/>
        <v>0</v>
      </c>
      <c r="AZ85">
        <f t="shared" si="179"/>
        <v>0</v>
      </c>
      <c r="BA85">
        <f t="shared" si="179"/>
        <v>0</v>
      </c>
      <c r="BB85">
        <f t="shared" si="179"/>
        <v>0</v>
      </c>
      <c r="BC85">
        <f t="shared" si="179"/>
        <v>0</v>
      </c>
      <c r="BD85">
        <f t="shared" si="179"/>
        <v>0</v>
      </c>
      <c r="BE85">
        <f t="shared" si="179"/>
        <v>0</v>
      </c>
      <c r="BF85">
        <f t="shared" si="179"/>
        <v>0</v>
      </c>
      <c r="BG85">
        <f t="shared" si="179"/>
        <v>0</v>
      </c>
      <c r="BH85">
        <f t="shared" si="179"/>
        <v>0</v>
      </c>
      <c r="BI85">
        <f t="shared" si="179"/>
        <v>0</v>
      </c>
      <c r="BJ85">
        <f t="shared" si="179"/>
        <v>0</v>
      </c>
      <c r="BK85">
        <f t="shared" si="179"/>
        <v>0</v>
      </c>
      <c r="BL85">
        <f t="shared" si="179"/>
        <v>0</v>
      </c>
      <c r="BM85">
        <f t="shared" si="179"/>
        <v>0</v>
      </c>
      <c r="BN85">
        <f t="shared" si="179"/>
        <v>0</v>
      </c>
      <c r="BO85">
        <f t="shared" si="179"/>
        <v>0</v>
      </c>
      <c r="BP85">
        <f t="shared" si="179"/>
        <v>0</v>
      </c>
      <c r="BQ85">
        <f t="shared" si="179"/>
        <v>0</v>
      </c>
      <c r="BR85">
        <f t="shared" si="179"/>
        <v>0</v>
      </c>
      <c r="BS85">
        <f t="shared" si="179"/>
        <v>0</v>
      </c>
      <c r="BT85">
        <f t="shared" si="179"/>
        <v>0</v>
      </c>
      <c r="BU85">
        <f t="shared" si="179"/>
        <v>0</v>
      </c>
      <c r="BV85">
        <f t="shared" si="179"/>
        <v>0</v>
      </c>
      <c r="BW85">
        <f t="shared" si="179"/>
        <v>0</v>
      </c>
      <c r="BX85">
        <f t="shared" si="179"/>
        <v>0</v>
      </c>
      <c r="BY85">
        <f t="shared" si="179"/>
        <v>0</v>
      </c>
      <c r="BZ85">
        <f t="shared" si="179"/>
        <v>0</v>
      </c>
      <c r="CA85">
        <f t="shared" si="179"/>
        <v>0</v>
      </c>
      <c r="CB85">
        <f t="shared" si="179"/>
        <v>0</v>
      </c>
      <c r="CC85">
        <f t="shared" si="179"/>
        <v>0</v>
      </c>
      <c r="CD85">
        <f t="shared" si="179"/>
        <v>0</v>
      </c>
      <c r="CE85">
        <f t="shared" si="179"/>
        <v>0</v>
      </c>
      <c r="CF85">
        <f t="shared" si="179"/>
        <v>0</v>
      </c>
      <c r="CG85">
        <f t="shared" si="179"/>
        <v>0</v>
      </c>
      <c r="CH85">
        <f t="shared" si="179"/>
        <v>0</v>
      </c>
      <c r="CI85">
        <f t="shared" si="179"/>
        <v>0</v>
      </c>
      <c r="CJ85">
        <f t="shared" si="179"/>
        <v>0</v>
      </c>
      <c r="CK85">
        <f t="shared" si="179"/>
        <v>0</v>
      </c>
      <c r="CL85">
        <f t="shared" si="179"/>
        <v>0</v>
      </c>
      <c r="CM85">
        <f t="shared" si="179"/>
        <v>0</v>
      </c>
      <c r="CN85">
        <f t="shared" si="179"/>
        <v>0</v>
      </c>
      <c r="CO85">
        <f t="shared" ref="CO85:DN85" si="180">CN86/CN$3</f>
        <v>0</v>
      </c>
      <c r="CP85">
        <f t="shared" si="180"/>
        <v>0</v>
      </c>
      <c r="CQ85">
        <f t="shared" si="180"/>
        <v>0</v>
      </c>
      <c r="CR85">
        <f t="shared" si="180"/>
        <v>0</v>
      </c>
      <c r="CS85">
        <f t="shared" si="180"/>
        <v>0</v>
      </c>
      <c r="CT85">
        <f t="shared" si="180"/>
        <v>0</v>
      </c>
      <c r="CU85">
        <f t="shared" si="180"/>
        <v>0</v>
      </c>
      <c r="CV85">
        <f t="shared" si="180"/>
        <v>0</v>
      </c>
      <c r="CW85">
        <f t="shared" si="180"/>
        <v>0</v>
      </c>
      <c r="CX85">
        <f t="shared" si="180"/>
        <v>0</v>
      </c>
      <c r="CY85">
        <f t="shared" si="180"/>
        <v>0</v>
      </c>
      <c r="CZ85">
        <f t="shared" si="180"/>
        <v>0</v>
      </c>
      <c r="DA85">
        <f t="shared" si="180"/>
        <v>0</v>
      </c>
      <c r="DB85">
        <f t="shared" si="180"/>
        <v>0</v>
      </c>
      <c r="DC85">
        <f t="shared" si="180"/>
        <v>0</v>
      </c>
      <c r="DD85">
        <f t="shared" si="180"/>
        <v>0</v>
      </c>
      <c r="DE85">
        <f t="shared" si="180"/>
        <v>0</v>
      </c>
      <c r="DF85">
        <f t="shared" si="180"/>
        <v>0</v>
      </c>
      <c r="DG85">
        <f t="shared" si="180"/>
        <v>0</v>
      </c>
      <c r="DH85">
        <f t="shared" si="180"/>
        <v>0</v>
      </c>
      <c r="DI85">
        <f t="shared" si="180"/>
        <v>0</v>
      </c>
      <c r="DJ85">
        <f t="shared" si="180"/>
        <v>0</v>
      </c>
      <c r="DK85">
        <f t="shared" si="180"/>
        <v>0</v>
      </c>
      <c r="DL85">
        <f t="shared" si="180"/>
        <v>0</v>
      </c>
      <c r="DM85">
        <f t="shared" si="180"/>
        <v>0</v>
      </c>
      <c r="DN85">
        <f t="shared" si="180"/>
        <v>0</v>
      </c>
    </row>
    <row r="86" spans="1:118" x14ac:dyDescent="0.2">
      <c r="A86">
        <v>82</v>
      </c>
      <c r="B86">
        <v>101</v>
      </c>
      <c r="C86">
        <f t="shared" si="141"/>
        <v>1.8301111891293805E-2</v>
      </c>
      <c r="D86">
        <f t="shared" si="142"/>
        <v>3.3493069645765548E-4</v>
      </c>
      <c r="E86">
        <v>0.43727999999999995</v>
      </c>
      <c r="F86">
        <f t="shared" si="137"/>
        <v>0.56272000000000011</v>
      </c>
      <c r="G86" s="34">
        <f t="shared" si="146"/>
        <v>1.3869574027297116E-3</v>
      </c>
      <c r="H86" s="34"/>
      <c r="I86">
        <v>903.11692916351035</v>
      </c>
      <c r="J86">
        <v>101</v>
      </c>
      <c r="K86" s="38">
        <f t="shared" si="147"/>
        <v>903.11692916518086</v>
      </c>
      <c r="L86" s="22">
        <f t="shared" si="138"/>
        <v>789.75796396045041</v>
      </c>
      <c r="M86" s="23">
        <f t="shared" si="143"/>
        <v>439.52824054796787</v>
      </c>
      <c r="T86" s="59">
        <v>885.93</v>
      </c>
      <c r="U86">
        <v>0.43727999999999995</v>
      </c>
      <c r="V86">
        <v>0.1111111111111111</v>
      </c>
      <c r="W86">
        <v>3.9210560847676823E-2</v>
      </c>
      <c r="Z86">
        <f t="shared" si="150"/>
        <v>0.38019999999999998</v>
      </c>
      <c r="AA86">
        <f t="shared" si="151"/>
        <v>0.61980000000000002</v>
      </c>
      <c r="AB86" s="34">
        <f t="shared" si="154"/>
        <v>4.164252995294492E-3</v>
      </c>
      <c r="AC86">
        <f t="shared" ref="AC86:CN86" si="181">AB87/AB$3</f>
        <v>2.4672793605963177E-3</v>
      </c>
      <c r="AD86">
        <f t="shared" si="181"/>
        <v>1.3898606941305383E-3</v>
      </c>
      <c r="AE86">
        <f t="shared" si="181"/>
        <v>7.4076277399955678E-4</v>
      </c>
      <c r="AF86">
        <f t="shared" si="181"/>
        <v>3.7154940823282096E-4</v>
      </c>
      <c r="AG86">
        <f t="shared" si="181"/>
        <v>1.7435838151707802E-4</v>
      </c>
      <c r="AH86">
        <f t="shared" si="181"/>
        <v>7.6062486644512358E-5</v>
      </c>
      <c r="AI86">
        <f t="shared" si="181"/>
        <v>3.0628949019077765E-5</v>
      </c>
      <c r="AJ86">
        <f t="shared" si="181"/>
        <v>1.1297505342773373E-5</v>
      </c>
      <c r="AK86">
        <f t="shared" si="181"/>
        <v>3.7848413418900572E-6</v>
      </c>
      <c r="AL86">
        <f t="shared" si="181"/>
        <v>1.1413957110214445E-6</v>
      </c>
      <c r="AM86">
        <f t="shared" si="181"/>
        <v>3.0651139442965729E-7</v>
      </c>
      <c r="AN86">
        <f t="shared" si="181"/>
        <v>0</v>
      </c>
      <c r="AO86">
        <f t="shared" si="181"/>
        <v>0</v>
      </c>
      <c r="AP86">
        <f t="shared" si="181"/>
        <v>0</v>
      </c>
      <c r="AQ86">
        <f t="shared" si="181"/>
        <v>0</v>
      </c>
      <c r="AR86">
        <f t="shared" si="181"/>
        <v>0</v>
      </c>
      <c r="AS86">
        <f t="shared" si="181"/>
        <v>0</v>
      </c>
      <c r="AT86">
        <f t="shared" si="181"/>
        <v>0</v>
      </c>
      <c r="AU86">
        <f t="shared" si="181"/>
        <v>0</v>
      </c>
      <c r="AV86">
        <f t="shared" si="181"/>
        <v>0</v>
      </c>
      <c r="AW86">
        <f t="shared" si="181"/>
        <v>0</v>
      </c>
      <c r="AX86">
        <f t="shared" si="181"/>
        <v>0</v>
      </c>
      <c r="AY86">
        <f t="shared" si="181"/>
        <v>0</v>
      </c>
      <c r="AZ86">
        <f t="shared" si="181"/>
        <v>0</v>
      </c>
      <c r="BA86">
        <f t="shared" si="181"/>
        <v>0</v>
      </c>
      <c r="BB86">
        <f t="shared" si="181"/>
        <v>0</v>
      </c>
      <c r="BC86">
        <f t="shared" si="181"/>
        <v>0</v>
      </c>
      <c r="BD86">
        <f t="shared" si="181"/>
        <v>0</v>
      </c>
      <c r="BE86">
        <f t="shared" si="181"/>
        <v>0</v>
      </c>
      <c r="BF86">
        <f t="shared" si="181"/>
        <v>0</v>
      </c>
      <c r="BG86">
        <f t="shared" si="181"/>
        <v>0</v>
      </c>
      <c r="BH86">
        <f t="shared" si="181"/>
        <v>0</v>
      </c>
      <c r="BI86">
        <f t="shared" si="181"/>
        <v>0</v>
      </c>
      <c r="BJ86">
        <f t="shared" si="181"/>
        <v>0</v>
      </c>
      <c r="BK86">
        <f t="shared" si="181"/>
        <v>0</v>
      </c>
      <c r="BL86">
        <f t="shared" si="181"/>
        <v>0</v>
      </c>
      <c r="BM86">
        <f t="shared" si="181"/>
        <v>0</v>
      </c>
      <c r="BN86">
        <f t="shared" si="181"/>
        <v>0</v>
      </c>
      <c r="BO86">
        <f t="shared" si="181"/>
        <v>0</v>
      </c>
      <c r="BP86">
        <f t="shared" si="181"/>
        <v>0</v>
      </c>
      <c r="BQ86">
        <f t="shared" si="181"/>
        <v>0</v>
      </c>
      <c r="BR86">
        <f t="shared" si="181"/>
        <v>0</v>
      </c>
      <c r="BS86">
        <f t="shared" si="181"/>
        <v>0</v>
      </c>
      <c r="BT86">
        <f t="shared" si="181"/>
        <v>0</v>
      </c>
      <c r="BU86">
        <f t="shared" si="181"/>
        <v>0</v>
      </c>
      <c r="BV86">
        <f t="shared" si="181"/>
        <v>0</v>
      </c>
      <c r="BW86">
        <f t="shared" si="181"/>
        <v>0</v>
      </c>
      <c r="BX86">
        <f t="shared" si="181"/>
        <v>0</v>
      </c>
      <c r="BY86">
        <f t="shared" si="181"/>
        <v>0</v>
      </c>
      <c r="BZ86">
        <f t="shared" si="181"/>
        <v>0</v>
      </c>
      <c r="CA86">
        <f t="shared" si="181"/>
        <v>0</v>
      </c>
      <c r="CB86">
        <f t="shared" si="181"/>
        <v>0</v>
      </c>
      <c r="CC86">
        <f t="shared" si="181"/>
        <v>0</v>
      </c>
      <c r="CD86">
        <f t="shared" si="181"/>
        <v>0</v>
      </c>
      <c r="CE86">
        <f t="shared" si="181"/>
        <v>0</v>
      </c>
      <c r="CF86">
        <f t="shared" si="181"/>
        <v>0</v>
      </c>
      <c r="CG86">
        <f t="shared" si="181"/>
        <v>0</v>
      </c>
      <c r="CH86">
        <f t="shared" si="181"/>
        <v>0</v>
      </c>
      <c r="CI86">
        <f t="shared" si="181"/>
        <v>0</v>
      </c>
      <c r="CJ86">
        <f t="shared" si="181"/>
        <v>0</v>
      </c>
      <c r="CK86">
        <f t="shared" si="181"/>
        <v>0</v>
      </c>
      <c r="CL86">
        <f t="shared" si="181"/>
        <v>0</v>
      </c>
      <c r="CM86">
        <f t="shared" si="181"/>
        <v>0</v>
      </c>
      <c r="CN86">
        <f t="shared" si="181"/>
        <v>0</v>
      </c>
      <c r="CO86">
        <f t="shared" ref="CO86:DN86" si="182">CN87/CN$3</f>
        <v>0</v>
      </c>
      <c r="CP86">
        <f t="shared" si="182"/>
        <v>0</v>
      </c>
      <c r="CQ86">
        <f t="shared" si="182"/>
        <v>0</v>
      </c>
      <c r="CR86">
        <f t="shared" si="182"/>
        <v>0</v>
      </c>
      <c r="CS86">
        <f t="shared" si="182"/>
        <v>0</v>
      </c>
      <c r="CT86">
        <f t="shared" si="182"/>
        <v>0</v>
      </c>
      <c r="CU86">
        <f t="shared" si="182"/>
        <v>0</v>
      </c>
      <c r="CV86">
        <f t="shared" si="182"/>
        <v>0</v>
      </c>
      <c r="CW86">
        <f t="shared" si="182"/>
        <v>0</v>
      </c>
      <c r="CX86">
        <f t="shared" si="182"/>
        <v>0</v>
      </c>
      <c r="CY86">
        <f t="shared" si="182"/>
        <v>0</v>
      </c>
      <c r="CZ86">
        <f t="shared" si="182"/>
        <v>0</v>
      </c>
      <c r="DA86">
        <f t="shared" si="182"/>
        <v>0</v>
      </c>
      <c r="DB86">
        <f t="shared" si="182"/>
        <v>0</v>
      </c>
      <c r="DC86">
        <f t="shared" si="182"/>
        <v>0</v>
      </c>
      <c r="DD86">
        <f t="shared" si="182"/>
        <v>0</v>
      </c>
      <c r="DE86">
        <f t="shared" si="182"/>
        <v>0</v>
      </c>
      <c r="DF86">
        <f t="shared" si="182"/>
        <v>0</v>
      </c>
      <c r="DG86">
        <f t="shared" si="182"/>
        <v>0</v>
      </c>
      <c r="DH86">
        <f t="shared" si="182"/>
        <v>0</v>
      </c>
      <c r="DI86">
        <f t="shared" si="182"/>
        <v>0</v>
      </c>
      <c r="DJ86">
        <f t="shared" si="182"/>
        <v>0</v>
      </c>
      <c r="DK86">
        <f t="shared" si="182"/>
        <v>0</v>
      </c>
      <c r="DL86">
        <f t="shared" si="182"/>
        <v>0</v>
      </c>
      <c r="DM86">
        <f t="shared" si="182"/>
        <v>0</v>
      </c>
      <c r="DN86">
        <f t="shared" si="182"/>
        <v>0</v>
      </c>
    </row>
    <row r="87" spans="1:118" x14ac:dyDescent="0.2">
      <c r="A87">
        <v>83</v>
      </c>
      <c r="B87">
        <v>102</v>
      </c>
      <c r="C87">
        <f t="shared" si="141"/>
        <v>1.7429630372660765E-2</v>
      </c>
      <c r="D87">
        <f t="shared" si="142"/>
        <v>3.0379201492757864E-4</v>
      </c>
      <c r="E87">
        <v>0.46761000000000003</v>
      </c>
      <c r="F87">
        <f t="shared" si="137"/>
        <v>0.53238999999999992</v>
      </c>
      <c r="G87" s="34">
        <f t="shared" si="146"/>
        <v>7.3840225163927103E-4</v>
      </c>
      <c r="H87" s="34"/>
      <c r="I87">
        <v>908.07644231889026</v>
      </c>
      <c r="J87">
        <v>102</v>
      </c>
      <c r="K87" s="38">
        <f t="shared" si="147"/>
        <v>908.0764423220071</v>
      </c>
      <c r="L87" s="22">
        <f t="shared" si="138"/>
        <v>807.90159492828195</v>
      </c>
      <c r="M87" s="23">
        <f t="shared" si="143"/>
        <v>439.52824054796787</v>
      </c>
      <c r="T87" s="60">
        <v>891.76</v>
      </c>
      <c r="U87">
        <v>0.46761000000000003</v>
      </c>
      <c r="V87">
        <v>0.125</v>
      </c>
      <c r="W87">
        <v>3.9210560847676823E-2</v>
      </c>
      <c r="Z87">
        <f t="shared" si="150"/>
        <v>0.40811999999999998</v>
      </c>
      <c r="AA87">
        <f t="shared" si="151"/>
        <v>0.59187999999999996</v>
      </c>
      <c r="AB87" s="34">
        <f t="shared" si="154"/>
        <v>2.4647380628549037E-3</v>
      </c>
      <c r="AC87">
        <f t="shared" ref="AC87:CN87" si="183">AB88/AB$3</f>
        <v>1.3883874417947601E-3</v>
      </c>
      <c r="AD87">
        <f t="shared" si="183"/>
        <v>7.3994793494815733E-4</v>
      </c>
      <c r="AE87">
        <f t="shared" si="183"/>
        <v>3.7112955740151789E-4</v>
      </c>
      <c r="AF87">
        <f t="shared" si="183"/>
        <v>1.7415263862688787E-4</v>
      </c>
      <c r="AG87">
        <f t="shared" si="183"/>
        <v>7.5969690410806058E-5</v>
      </c>
      <c r="AH87">
        <f t="shared" si="183"/>
        <v>3.059005025382354E-5</v>
      </c>
      <c r="AI87">
        <f t="shared" si="183"/>
        <v>1.1282479660667484E-5</v>
      </c>
      <c r="AJ87">
        <f t="shared" si="183"/>
        <v>3.7795804124248301E-6</v>
      </c>
      <c r="AK87">
        <f t="shared" si="183"/>
        <v>1.1397292732833531E-6</v>
      </c>
      <c r="AL87">
        <f t="shared" si="183"/>
        <v>3.0604243199617992E-7</v>
      </c>
      <c r="AM87">
        <f t="shared" si="183"/>
        <v>0</v>
      </c>
      <c r="AN87">
        <f t="shared" si="183"/>
        <v>0</v>
      </c>
      <c r="AO87">
        <f t="shared" si="183"/>
        <v>0</v>
      </c>
      <c r="AP87">
        <f t="shared" si="183"/>
        <v>0</v>
      </c>
      <c r="AQ87">
        <f t="shared" si="183"/>
        <v>0</v>
      </c>
      <c r="AR87">
        <f t="shared" si="183"/>
        <v>0</v>
      </c>
      <c r="AS87">
        <f t="shared" si="183"/>
        <v>0</v>
      </c>
      <c r="AT87">
        <f t="shared" si="183"/>
        <v>0</v>
      </c>
      <c r="AU87">
        <f t="shared" si="183"/>
        <v>0</v>
      </c>
      <c r="AV87">
        <f t="shared" si="183"/>
        <v>0</v>
      </c>
      <c r="AW87">
        <f t="shared" si="183"/>
        <v>0</v>
      </c>
      <c r="AX87">
        <f t="shared" si="183"/>
        <v>0</v>
      </c>
      <c r="AY87">
        <f t="shared" si="183"/>
        <v>0</v>
      </c>
      <c r="AZ87">
        <f t="shared" si="183"/>
        <v>0</v>
      </c>
      <c r="BA87">
        <f t="shared" si="183"/>
        <v>0</v>
      </c>
      <c r="BB87">
        <f t="shared" si="183"/>
        <v>0</v>
      </c>
      <c r="BC87">
        <f t="shared" si="183"/>
        <v>0</v>
      </c>
      <c r="BD87">
        <f t="shared" si="183"/>
        <v>0</v>
      </c>
      <c r="BE87">
        <f t="shared" si="183"/>
        <v>0</v>
      </c>
      <c r="BF87">
        <f t="shared" si="183"/>
        <v>0</v>
      </c>
      <c r="BG87">
        <f t="shared" si="183"/>
        <v>0</v>
      </c>
      <c r="BH87">
        <f t="shared" si="183"/>
        <v>0</v>
      </c>
      <c r="BI87">
        <f t="shared" si="183"/>
        <v>0</v>
      </c>
      <c r="BJ87">
        <f t="shared" si="183"/>
        <v>0</v>
      </c>
      <c r="BK87">
        <f t="shared" si="183"/>
        <v>0</v>
      </c>
      <c r="BL87">
        <f t="shared" si="183"/>
        <v>0</v>
      </c>
      <c r="BM87">
        <f t="shared" si="183"/>
        <v>0</v>
      </c>
      <c r="BN87">
        <f t="shared" si="183"/>
        <v>0</v>
      </c>
      <c r="BO87">
        <f t="shared" si="183"/>
        <v>0</v>
      </c>
      <c r="BP87">
        <f t="shared" si="183"/>
        <v>0</v>
      </c>
      <c r="BQ87">
        <f t="shared" si="183"/>
        <v>0</v>
      </c>
      <c r="BR87">
        <f t="shared" si="183"/>
        <v>0</v>
      </c>
      <c r="BS87">
        <f t="shared" si="183"/>
        <v>0</v>
      </c>
      <c r="BT87">
        <f t="shared" si="183"/>
        <v>0</v>
      </c>
      <c r="BU87">
        <f t="shared" si="183"/>
        <v>0</v>
      </c>
      <c r="BV87">
        <f t="shared" si="183"/>
        <v>0</v>
      </c>
      <c r="BW87">
        <f t="shared" si="183"/>
        <v>0</v>
      </c>
      <c r="BX87">
        <f t="shared" si="183"/>
        <v>0</v>
      </c>
      <c r="BY87">
        <f t="shared" si="183"/>
        <v>0</v>
      </c>
      <c r="BZ87">
        <f t="shared" si="183"/>
        <v>0</v>
      </c>
      <c r="CA87">
        <f t="shared" si="183"/>
        <v>0</v>
      </c>
      <c r="CB87">
        <f t="shared" si="183"/>
        <v>0</v>
      </c>
      <c r="CC87">
        <f t="shared" si="183"/>
        <v>0</v>
      </c>
      <c r="CD87">
        <f t="shared" si="183"/>
        <v>0</v>
      </c>
      <c r="CE87">
        <f t="shared" si="183"/>
        <v>0</v>
      </c>
      <c r="CF87">
        <f t="shared" si="183"/>
        <v>0</v>
      </c>
      <c r="CG87">
        <f t="shared" si="183"/>
        <v>0</v>
      </c>
      <c r="CH87">
        <f t="shared" si="183"/>
        <v>0</v>
      </c>
      <c r="CI87">
        <f t="shared" si="183"/>
        <v>0</v>
      </c>
      <c r="CJ87">
        <f t="shared" si="183"/>
        <v>0</v>
      </c>
      <c r="CK87">
        <f t="shared" si="183"/>
        <v>0</v>
      </c>
      <c r="CL87">
        <f t="shared" si="183"/>
        <v>0</v>
      </c>
      <c r="CM87">
        <f t="shared" si="183"/>
        <v>0</v>
      </c>
      <c r="CN87">
        <f t="shared" si="183"/>
        <v>0</v>
      </c>
      <c r="CO87">
        <f t="shared" ref="CO87:DN87" si="184">CN88/CN$3</f>
        <v>0</v>
      </c>
      <c r="CP87">
        <f t="shared" si="184"/>
        <v>0</v>
      </c>
      <c r="CQ87">
        <f t="shared" si="184"/>
        <v>0</v>
      </c>
      <c r="CR87">
        <f t="shared" si="184"/>
        <v>0</v>
      </c>
      <c r="CS87">
        <f t="shared" si="184"/>
        <v>0</v>
      </c>
      <c r="CT87">
        <f t="shared" si="184"/>
        <v>0</v>
      </c>
      <c r="CU87">
        <f t="shared" si="184"/>
        <v>0</v>
      </c>
      <c r="CV87">
        <f t="shared" si="184"/>
        <v>0</v>
      </c>
      <c r="CW87">
        <f t="shared" si="184"/>
        <v>0</v>
      </c>
      <c r="CX87">
        <f t="shared" si="184"/>
        <v>0</v>
      </c>
      <c r="CY87">
        <f t="shared" si="184"/>
        <v>0</v>
      </c>
      <c r="CZ87">
        <f t="shared" si="184"/>
        <v>0</v>
      </c>
      <c r="DA87">
        <f t="shared" si="184"/>
        <v>0</v>
      </c>
      <c r="DB87">
        <f t="shared" si="184"/>
        <v>0</v>
      </c>
      <c r="DC87">
        <f t="shared" si="184"/>
        <v>0</v>
      </c>
      <c r="DD87">
        <f t="shared" si="184"/>
        <v>0</v>
      </c>
      <c r="DE87">
        <f t="shared" si="184"/>
        <v>0</v>
      </c>
      <c r="DF87">
        <f t="shared" si="184"/>
        <v>0</v>
      </c>
      <c r="DG87">
        <f t="shared" si="184"/>
        <v>0</v>
      </c>
      <c r="DH87">
        <f t="shared" si="184"/>
        <v>0</v>
      </c>
      <c r="DI87">
        <f t="shared" si="184"/>
        <v>0</v>
      </c>
      <c r="DJ87">
        <f t="shared" si="184"/>
        <v>0</v>
      </c>
      <c r="DK87">
        <f t="shared" si="184"/>
        <v>0</v>
      </c>
      <c r="DL87">
        <f t="shared" si="184"/>
        <v>0</v>
      </c>
      <c r="DM87">
        <f t="shared" si="184"/>
        <v>0</v>
      </c>
      <c r="DN87">
        <f t="shared" si="184"/>
        <v>0</v>
      </c>
    </row>
    <row r="88" spans="1:118" x14ac:dyDescent="0.2">
      <c r="A88">
        <v>84</v>
      </c>
      <c r="B88">
        <v>103</v>
      </c>
      <c r="C88">
        <f t="shared" si="141"/>
        <v>1.6599647973962631E-2</v>
      </c>
      <c r="D88">
        <f t="shared" si="142"/>
        <v>2.7554831285948167E-4</v>
      </c>
      <c r="E88">
        <v>0.49898999999999999</v>
      </c>
      <c r="F88">
        <f t="shared" si="137"/>
        <v>0.50100999999999996</v>
      </c>
      <c r="G88" s="34">
        <f t="shared" si="146"/>
        <v>3.6994691209379113E-4</v>
      </c>
      <c r="H88" s="34"/>
      <c r="I88">
        <v>912.62094411021019</v>
      </c>
      <c r="J88">
        <v>103</v>
      </c>
      <c r="K88" s="38">
        <f t="shared" si="147"/>
        <v>912.62094411635746</v>
      </c>
      <c r="L88" s="22">
        <f t="shared" si="138"/>
        <v>826.62477105679591</v>
      </c>
      <c r="M88" s="23">
        <f t="shared" si="143"/>
        <v>439.52824054796787</v>
      </c>
      <c r="T88" s="60">
        <v>897.19</v>
      </c>
      <c r="U88">
        <v>0.49898999999999999</v>
      </c>
      <c r="V88">
        <v>0.14285714285714285</v>
      </c>
      <c r="W88">
        <v>3.9210560847676823E-2</v>
      </c>
      <c r="Z88">
        <f t="shared" si="150"/>
        <v>0.43727999999999995</v>
      </c>
      <c r="AA88">
        <f t="shared" si="151"/>
        <v>0.56272000000000011</v>
      </c>
      <c r="AB88" s="34">
        <f t="shared" si="154"/>
        <v>1.3869574027297116E-3</v>
      </c>
      <c r="AC88">
        <f t="shared" ref="AC88:CN88" si="185">AB89/AB$3</f>
        <v>7.3916359013711228E-4</v>
      </c>
      <c r="AD88">
        <f t="shared" si="185"/>
        <v>3.7072131488837624E-4</v>
      </c>
      <c r="AE88">
        <f t="shared" si="185"/>
        <v>1.7395584614523948E-4</v>
      </c>
      <c r="AF88">
        <f t="shared" si="185"/>
        <v>7.5880046176121315E-5</v>
      </c>
      <c r="AG88">
        <f t="shared" si="185"/>
        <v>3.0552730392513874E-5</v>
      </c>
      <c r="AH88">
        <f t="shared" si="185"/>
        <v>1.1268150911498436E-5</v>
      </c>
      <c r="AI88">
        <f t="shared" si="185"/>
        <v>3.774553570476305E-6</v>
      </c>
      <c r="AJ88">
        <f t="shared" si="185"/>
        <v>1.1381450495934893E-6</v>
      </c>
      <c r="AK88">
        <f t="shared" si="185"/>
        <v>3.0559561004546549E-7</v>
      </c>
      <c r="AL88">
        <f t="shared" si="185"/>
        <v>0</v>
      </c>
      <c r="AM88">
        <f t="shared" si="185"/>
        <v>0</v>
      </c>
      <c r="AN88">
        <f t="shared" si="185"/>
        <v>0</v>
      </c>
      <c r="AO88">
        <f t="shared" si="185"/>
        <v>0</v>
      </c>
      <c r="AP88">
        <f t="shared" si="185"/>
        <v>0</v>
      </c>
      <c r="AQ88">
        <f t="shared" si="185"/>
        <v>0</v>
      </c>
      <c r="AR88">
        <f t="shared" si="185"/>
        <v>0</v>
      </c>
      <c r="AS88">
        <f t="shared" si="185"/>
        <v>0</v>
      </c>
      <c r="AT88">
        <f t="shared" si="185"/>
        <v>0</v>
      </c>
      <c r="AU88">
        <f t="shared" si="185"/>
        <v>0</v>
      </c>
      <c r="AV88">
        <f t="shared" si="185"/>
        <v>0</v>
      </c>
      <c r="AW88">
        <f t="shared" si="185"/>
        <v>0</v>
      </c>
      <c r="AX88">
        <f t="shared" si="185"/>
        <v>0</v>
      </c>
      <c r="AY88">
        <f t="shared" si="185"/>
        <v>0</v>
      </c>
      <c r="AZ88">
        <f t="shared" si="185"/>
        <v>0</v>
      </c>
      <c r="BA88">
        <f t="shared" si="185"/>
        <v>0</v>
      </c>
      <c r="BB88">
        <f t="shared" si="185"/>
        <v>0</v>
      </c>
      <c r="BC88">
        <f t="shared" si="185"/>
        <v>0</v>
      </c>
      <c r="BD88">
        <f t="shared" si="185"/>
        <v>0</v>
      </c>
      <c r="BE88">
        <f t="shared" si="185"/>
        <v>0</v>
      </c>
      <c r="BF88">
        <f t="shared" si="185"/>
        <v>0</v>
      </c>
      <c r="BG88">
        <f t="shared" si="185"/>
        <v>0</v>
      </c>
      <c r="BH88">
        <f t="shared" si="185"/>
        <v>0</v>
      </c>
      <c r="BI88">
        <f t="shared" si="185"/>
        <v>0</v>
      </c>
      <c r="BJ88">
        <f t="shared" si="185"/>
        <v>0</v>
      </c>
      <c r="BK88">
        <f t="shared" si="185"/>
        <v>0</v>
      </c>
      <c r="BL88">
        <f t="shared" si="185"/>
        <v>0</v>
      </c>
      <c r="BM88">
        <f t="shared" si="185"/>
        <v>0</v>
      </c>
      <c r="BN88">
        <f t="shared" si="185"/>
        <v>0</v>
      </c>
      <c r="BO88">
        <f t="shared" si="185"/>
        <v>0</v>
      </c>
      <c r="BP88">
        <f t="shared" si="185"/>
        <v>0</v>
      </c>
      <c r="BQ88">
        <f t="shared" si="185"/>
        <v>0</v>
      </c>
      <c r="BR88">
        <f t="shared" si="185"/>
        <v>0</v>
      </c>
      <c r="BS88">
        <f t="shared" si="185"/>
        <v>0</v>
      </c>
      <c r="BT88">
        <f t="shared" si="185"/>
        <v>0</v>
      </c>
      <c r="BU88">
        <f t="shared" si="185"/>
        <v>0</v>
      </c>
      <c r="BV88">
        <f t="shared" si="185"/>
        <v>0</v>
      </c>
      <c r="BW88">
        <f t="shared" si="185"/>
        <v>0</v>
      </c>
      <c r="BX88">
        <f t="shared" si="185"/>
        <v>0</v>
      </c>
      <c r="BY88">
        <f t="shared" si="185"/>
        <v>0</v>
      </c>
      <c r="BZ88">
        <f t="shared" si="185"/>
        <v>0</v>
      </c>
      <c r="CA88">
        <f t="shared" si="185"/>
        <v>0</v>
      </c>
      <c r="CB88">
        <f t="shared" si="185"/>
        <v>0</v>
      </c>
      <c r="CC88">
        <f t="shared" si="185"/>
        <v>0</v>
      </c>
      <c r="CD88">
        <f t="shared" si="185"/>
        <v>0</v>
      </c>
      <c r="CE88">
        <f t="shared" si="185"/>
        <v>0</v>
      </c>
      <c r="CF88">
        <f t="shared" si="185"/>
        <v>0</v>
      </c>
      <c r="CG88">
        <f t="shared" si="185"/>
        <v>0</v>
      </c>
      <c r="CH88">
        <f t="shared" si="185"/>
        <v>0</v>
      </c>
      <c r="CI88">
        <f t="shared" si="185"/>
        <v>0</v>
      </c>
      <c r="CJ88">
        <f t="shared" si="185"/>
        <v>0</v>
      </c>
      <c r="CK88">
        <f t="shared" si="185"/>
        <v>0</v>
      </c>
      <c r="CL88">
        <f t="shared" si="185"/>
        <v>0</v>
      </c>
      <c r="CM88">
        <f t="shared" si="185"/>
        <v>0</v>
      </c>
      <c r="CN88">
        <f t="shared" si="185"/>
        <v>0</v>
      </c>
      <c r="CO88">
        <f t="shared" ref="CO88:DN88" si="186">CN89/CN$3</f>
        <v>0</v>
      </c>
      <c r="CP88">
        <f t="shared" si="186"/>
        <v>0</v>
      </c>
      <c r="CQ88">
        <f t="shared" si="186"/>
        <v>0</v>
      </c>
      <c r="CR88">
        <f t="shared" si="186"/>
        <v>0</v>
      </c>
      <c r="CS88">
        <f t="shared" si="186"/>
        <v>0</v>
      </c>
      <c r="CT88">
        <f t="shared" si="186"/>
        <v>0</v>
      </c>
      <c r="CU88">
        <f t="shared" si="186"/>
        <v>0</v>
      </c>
      <c r="CV88">
        <f t="shared" si="186"/>
        <v>0</v>
      </c>
      <c r="CW88">
        <f t="shared" si="186"/>
        <v>0</v>
      </c>
      <c r="CX88">
        <f t="shared" si="186"/>
        <v>0</v>
      </c>
      <c r="CY88">
        <f t="shared" si="186"/>
        <v>0</v>
      </c>
      <c r="CZ88">
        <f t="shared" si="186"/>
        <v>0</v>
      </c>
      <c r="DA88">
        <f t="shared" si="186"/>
        <v>0</v>
      </c>
      <c r="DB88">
        <f t="shared" si="186"/>
        <v>0</v>
      </c>
      <c r="DC88">
        <f t="shared" si="186"/>
        <v>0</v>
      </c>
      <c r="DD88">
        <f t="shared" si="186"/>
        <v>0</v>
      </c>
      <c r="DE88">
        <f t="shared" si="186"/>
        <v>0</v>
      </c>
      <c r="DF88">
        <f t="shared" si="186"/>
        <v>0</v>
      </c>
      <c r="DG88">
        <f t="shared" si="186"/>
        <v>0</v>
      </c>
      <c r="DH88">
        <f t="shared" si="186"/>
        <v>0</v>
      </c>
      <c r="DI88">
        <f t="shared" si="186"/>
        <v>0</v>
      </c>
      <c r="DJ88">
        <f t="shared" si="186"/>
        <v>0</v>
      </c>
      <c r="DK88">
        <f t="shared" si="186"/>
        <v>0</v>
      </c>
      <c r="DL88">
        <f t="shared" si="186"/>
        <v>0</v>
      </c>
      <c r="DM88">
        <f t="shared" si="186"/>
        <v>0</v>
      </c>
      <c r="DN88">
        <f t="shared" si="186"/>
        <v>0</v>
      </c>
    </row>
    <row r="89" spans="1:118" x14ac:dyDescent="0.2">
      <c r="A89">
        <v>85</v>
      </c>
      <c r="B89">
        <v>104</v>
      </c>
      <c r="C89">
        <f t="shared" si="141"/>
        <v>1.5809188546631076E-2</v>
      </c>
      <c r="D89">
        <f t="shared" si="142"/>
        <v>2.499304425029312E-4</v>
      </c>
      <c r="E89">
        <v>0.53127999999999997</v>
      </c>
      <c r="F89">
        <f t="shared" si="137"/>
        <v>0.46872000000000003</v>
      </c>
      <c r="G89" s="34">
        <f t="shared" si="146"/>
        <v>1.734015166366018E-4</v>
      </c>
      <c r="H89" s="34"/>
      <c r="I89">
        <v>916.67230457619792</v>
      </c>
      <c r="J89">
        <v>104</v>
      </c>
      <c r="K89" s="38">
        <f t="shared" si="147"/>
        <v>916.67230458908091</v>
      </c>
      <c r="L89" s="22">
        <f t="shared" si="138"/>
        <v>845.94867787790781</v>
      </c>
      <c r="M89" s="23">
        <f t="shared" si="143"/>
        <v>439.52824054796787</v>
      </c>
      <c r="T89" s="60">
        <v>902.23</v>
      </c>
      <c r="U89">
        <v>0.53127999999999997</v>
      </c>
      <c r="V89">
        <v>0.16666666666666666</v>
      </c>
      <c r="W89">
        <v>3.9210560847676823E-2</v>
      </c>
      <c r="Z89">
        <f t="shared" si="150"/>
        <v>0.46761000000000003</v>
      </c>
      <c r="AA89">
        <f t="shared" si="151"/>
        <v>0.53238999999999992</v>
      </c>
      <c r="AB89" s="34">
        <f t="shared" si="154"/>
        <v>7.3840225163927103E-4</v>
      </c>
      <c r="AC89">
        <f t="shared" ref="AC89:CN89" si="187">AB90/AB$3</f>
        <v>3.7032835029459456E-4</v>
      </c>
      <c r="AD89">
        <f t="shared" si="187"/>
        <v>1.7376449471447972E-4</v>
      </c>
      <c r="AE89">
        <f t="shared" si="187"/>
        <v>7.5794301723942299E-5</v>
      </c>
      <c r="AF89">
        <f t="shared" si="187"/>
        <v>3.0516678170650707E-5</v>
      </c>
      <c r="AG89">
        <f t="shared" si="187"/>
        <v>1.1254403767386407E-5</v>
      </c>
      <c r="AH89">
        <f t="shared" si="187"/>
        <v>3.7697598874418003E-6</v>
      </c>
      <c r="AI89">
        <f t="shared" si="187"/>
        <v>1.1366313166775299E-6</v>
      </c>
      <c r="AJ89">
        <f t="shared" si="187"/>
        <v>3.0517083214750229E-7</v>
      </c>
      <c r="AK89">
        <f t="shared" si="187"/>
        <v>0</v>
      </c>
      <c r="AL89">
        <f t="shared" si="187"/>
        <v>0</v>
      </c>
      <c r="AM89">
        <f t="shared" si="187"/>
        <v>0</v>
      </c>
      <c r="AN89">
        <f t="shared" si="187"/>
        <v>0</v>
      </c>
      <c r="AO89">
        <f t="shared" si="187"/>
        <v>0</v>
      </c>
      <c r="AP89">
        <f t="shared" si="187"/>
        <v>0</v>
      </c>
      <c r="AQ89">
        <f t="shared" si="187"/>
        <v>0</v>
      </c>
      <c r="AR89">
        <f t="shared" si="187"/>
        <v>0</v>
      </c>
      <c r="AS89">
        <f t="shared" si="187"/>
        <v>0</v>
      </c>
      <c r="AT89">
        <f t="shared" si="187"/>
        <v>0</v>
      </c>
      <c r="AU89">
        <f t="shared" si="187"/>
        <v>0</v>
      </c>
      <c r="AV89">
        <f t="shared" si="187"/>
        <v>0</v>
      </c>
      <c r="AW89">
        <f t="shared" si="187"/>
        <v>0</v>
      </c>
      <c r="AX89">
        <f t="shared" si="187"/>
        <v>0</v>
      </c>
      <c r="AY89">
        <f t="shared" si="187"/>
        <v>0</v>
      </c>
      <c r="AZ89">
        <f t="shared" si="187"/>
        <v>0</v>
      </c>
      <c r="BA89">
        <f t="shared" si="187"/>
        <v>0</v>
      </c>
      <c r="BB89">
        <f t="shared" si="187"/>
        <v>0</v>
      </c>
      <c r="BC89">
        <f t="shared" si="187"/>
        <v>0</v>
      </c>
      <c r="BD89">
        <f t="shared" si="187"/>
        <v>0</v>
      </c>
      <c r="BE89">
        <f t="shared" si="187"/>
        <v>0</v>
      </c>
      <c r="BF89">
        <f t="shared" si="187"/>
        <v>0</v>
      </c>
      <c r="BG89">
        <f t="shared" si="187"/>
        <v>0</v>
      </c>
      <c r="BH89">
        <f t="shared" si="187"/>
        <v>0</v>
      </c>
      <c r="BI89">
        <f t="shared" si="187"/>
        <v>0</v>
      </c>
      <c r="BJ89">
        <f t="shared" si="187"/>
        <v>0</v>
      </c>
      <c r="BK89">
        <f t="shared" si="187"/>
        <v>0</v>
      </c>
      <c r="BL89">
        <f t="shared" si="187"/>
        <v>0</v>
      </c>
      <c r="BM89">
        <f t="shared" si="187"/>
        <v>0</v>
      </c>
      <c r="BN89">
        <f t="shared" si="187"/>
        <v>0</v>
      </c>
      <c r="BO89">
        <f t="shared" si="187"/>
        <v>0</v>
      </c>
      <c r="BP89">
        <f t="shared" si="187"/>
        <v>0</v>
      </c>
      <c r="BQ89">
        <f t="shared" si="187"/>
        <v>0</v>
      </c>
      <c r="BR89">
        <f t="shared" si="187"/>
        <v>0</v>
      </c>
      <c r="BS89">
        <f t="shared" si="187"/>
        <v>0</v>
      </c>
      <c r="BT89">
        <f t="shared" si="187"/>
        <v>0</v>
      </c>
      <c r="BU89">
        <f t="shared" si="187"/>
        <v>0</v>
      </c>
      <c r="BV89">
        <f t="shared" si="187"/>
        <v>0</v>
      </c>
      <c r="BW89">
        <f t="shared" si="187"/>
        <v>0</v>
      </c>
      <c r="BX89">
        <f t="shared" si="187"/>
        <v>0</v>
      </c>
      <c r="BY89">
        <f t="shared" si="187"/>
        <v>0</v>
      </c>
      <c r="BZ89">
        <f t="shared" si="187"/>
        <v>0</v>
      </c>
      <c r="CA89">
        <f t="shared" si="187"/>
        <v>0</v>
      </c>
      <c r="CB89">
        <f t="shared" si="187"/>
        <v>0</v>
      </c>
      <c r="CC89">
        <f t="shared" si="187"/>
        <v>0</v>
      </c>
      <c r="CD89">
        <f t="shared" si="187"/>
        <v>0</v>
      </c>
      <c r="CE89">
        <f t="shared" si="187"/>
        <v>0</v>
      </c>
      <c r="CF89">
        <f t="shared" si="187"/>
        <v>0</v>
      </c>
      <c r="CG89">
        <f t="shared" si="187"/>
        <v>0</v>
      </c>
      <c r="CH89">
        <f t="shared" si="187"/>
        <v>0</v>
      </c>
      <c r="CI89">
        <f t="shared" si="187"/>
        <v>0</v>
      </c>
      <c r="CJ89">
        <f t="shared" si="187"/>
        <v>0</v>
      </c>
      <c r="CK89">
        <f t="shared" si="187"/>
        <v>0</v>
      </c>
      <c r="CL89">
        <f t="shared" si="187"/>
        <v>0</v>
      </c>
      <c r="CM89">
        <f t="shared" si="187"/>
        <v>0</v>
      </c>
      <c r="CN89">
        <f t="shared" si="187"/>
        <v>0</v>
      </c>
      <c r="CO89">
        <f t="shared" ref="CO89:DN89" si="188">CN90/CN$3</f>
        <v>0</v>
      </c>
      <c r="CP89">
        <f t="shared" si="188"/>
        <v>0</v>
      </c>
      <c r="CQ89">
        <f t="shared" si="188"/>
        <v>0</v>
      </c>
      <c r="CR89">
        <f t="shared" si="188"/>
        <v>0</v>
      </c>
      <c r="CS89">
        <f t="shared" si="188"/>
        <v>0</v>
      </c>
      <c r="CT89">
        <f t="shared" si="188"/>
        <v>0</v>
      </c>
      <c r="CU89">
        <f t="shared" si="188"/>
        <v>0</v>
      </c>
      <c r="CV89">
        <f t="shared" si="188"/>
        <v>0</v>
      </c>
      <c r="CW89">
        <f t="shared" si="188"/>
        <v>0</v>
      </c>
      <c r="CX89">
        <f t="shared" si="188"/>
        <v>0</v>
      </c>
      <c r="CY89">
        <f t="shared" si="188"/>
        <v>0</v>
      </c>
      <c r="CZ89">
        <f t="shared" si="188"/>
        <v>0</v>
      </c>
      <c r="DA89">
        <f t="shared" si="188"/>
        <v>0</v>
      </c>
      <c r="DB89">
        <f t="shared" si="188"/>
        <v>0</v>
      </c>
      <c r="DC89">
        <f t="shared" si="188"/>
        <v>0</v>
      </c>
      <c r="DD89">
        <f t="shared" si="188"/>
        <v>0</v>
      </c>
      <c r="DE89">
        <f t="shared" si="188"/>
        <v>0</v>
      </c>
      <c r="DF89">
        <f t="shared" si="188"/>
        <v>0</v>
      </c>
      <c r="DG89">
        <f t="shared" si="188"/>
        <v>0</v>
      </c>
      <c r="DH89">
        <f t="shared" si="188"/>
        <v>0</v>
      </c>
      <c r="DI89">
        <f t="shared" si="188"/>
        <v>0</v>
      </c>
      <c r="DJ89">
        <f t="shared" si="188"/>
        <v>0</v>
      </c>
      <c r="DK89">
        <f t="shared" si="188"/>
        <v>0</v>
      </c>
      <c r="DL89">
        <f t="shared" si="188"/>
        <v>0</v>
      </c>
      <c r="DM89">
        <f t="shared" si="188"/>
        <v>0</v>
      </c>
      <c r="DN89">
        <f t="shared" si="188"/>
        <v>0</v>
      </c>
    </row>
    <row r="90" spans="1:118" x14ac:dyDescent="0.2">
      <c r="A90">
        <v>86</v>
      </c>
      <c r="B90">
        <v>105</v>
      </c>
      <c r="C90">
        <f t="shared" si="141"/>
        <v>1.5056370044410549E-2</v>
      </c>
      <c r="D90">
        <f t="shared" si="142"/>
        <v>2.2669427891422334E-4</v>
      </c>
      <c r="E90">
        <v>0.56428999999999996</v>
      </c>
      <c r="F90">
        <f t="shared" si="137"/>
        <v>0.43571000000000004</v>
      </c>
      <c r="G90" s="34">
        <f t="shared" si="146"/>
        <v>7.5552774813733773E-5</v>
      </c>
      <c r="H90" s="34"/>
      <c r="I90">
        <v>920.00750939795182</v>
      </c>
      <c r="J90">
        <v>105</v>
      </c>
      <c r="K90" s="38">
        <f t="shared" si="147"/>
        <v>920.00750942681134</v>
      </c>
      <c r="L90" s="22">
        <f t="shared" si="138"/>
        <v>865.89533412616413</v>
      </c>
      <c r="M90" s="23">
        <f t="shared" si="143"/>
        <v>439.52824054796787</v>
      </c>
      <c r="T90" s="58">
        <v>906.9</v>
      </c>
      <c r="U90">
        <v>0.56428999999999996</v>
      </c>
      <c r="V90">
        <v>0.2</v>
      </c>
      <c r="W90">
        <v>3.9210560847676823E-2</v>
      </c>
      <c r="Z90">
        <f t="shared" si="150"/>
        <v>0.49898999999999999</v>
      </c>
      <c r="AA90">
        <f t="shared" si="151"/>
        <v>0.50100999999999996</v>
      </c>
      <c r="AB90" s="34">
        <f t="shared" si="154"/>
        <v>3.6994691209379113E-4</v>
      </c>
      <c r="AC90">
        <f t="shared" ref="AC90:CN90" si="189">AB91/AB$3</f>
        <v>1.7358030435008238E-4</v>
      </c>
      <c r="AD90">
        <f t="shared" si="189"/>
        <v>7.5710927992045965E-5</v>
      </c>
      <c r="AE90">
        <f t="shared" si="189"/>
        <v>3.0482194324317871E-5</v>
      </c>
      <c r="AF90">
        <f t="shared" si="189"/>
        <v>1.1241123570940892E-5</v>
      </c>
      <c r="AG90">
        <f t="shared" si="189"/>
        <v>3.7651607803791214E-6</v>
      </c>
      <c r="AH90">
        <f t="shared" si="189"/>
        <v>1.1351877949053494E-6</v>
      </c>
      <c r="AI90">
        <f t="shared" si="189"/>
        <v>3.0476495494074609E-7</v>
      </c>
      <c r="AJ90">
        <f t="shared" si="189"/>
        <v>0</v>
      </c>
      <c r="AK90">
        <f t="shared" si="189"/>
        <v>0</v>
      </c>
      <c r="AL90">
        <f t="shared" si="189"/>
        <v>0</v>
      </c>
      <c r="AM90">
        <f t="shared" si="189"/>
        <v>0</v>
      </c>
      <c r="AN90">
        <f t="shared" si="189"/>
        <v>0</v>
      </c>
      <c r="AO90">
        <f t="shared" si="189"/>
        <v>0</v>
      </c>
      <c r="AP90">
        <f t="shared" si="189"/>
        <v>0</v>
      </c>
      <c r="AQ90">
        <f t="shared" si="189"/>
        <v>0</v>
      </c>
      <c r="AR90">
        <f t="shared" si="189"/>
        <v>0</v>
      </c>
      <c r="AS90">
        <f t="shared" si="189"/>
        <v>0</v>
      </c>
      <c r="AT90">
        <f t="shared" si="189"/>
        <v>0</v>
      </c>
      <c r="AU90">
        <f t="shared" si="189"/>
        <v>0</v>
      </c>
      <c r="AV90">
        <f t="shared" si="189"/>
        <v>0</v>
      </c>
      <c r="AW90">
        <f t="shared" si="189"/>
        <v>0</v>
      </c>
      <c r="AX90">
        <f t="shared" si="189"/>
        <v>0</v>
      </c>
      <c r="AY90">
        <f t="shared" si="189"/>
        <v>0</v>
      </c>
      <c r="AZ90">
        <f t="shared" si="189"/>
        <v>0</v>
      </c>
      <c r="BA90">
        <f t="shared" si="189"/>
        <v>0</v>
      </c>
      <c r="BB90">
        <f t="shared" si="189"/>
        <v>0</v>
      </c>
      <c r="BC90">
        <f t="shared" si="189"/>
        <v>0</v>
      </c>
      <c r="BD90">
        <f t="shared" si="189"/>
        <v>0</v>
      </c>
      <c r="BE90">
        <f t="shared" si="189"/>
        <v>0</v>
      </c>
      <c r="BF90">
        <f t="shared" si="189"/>
        <v>0</v>
      </c>
      <c r="BG90">
        <f t="shared" si="189"/>
        <v>0</v>
      </c>
      <c r="BH90">
        <f t="shared" si="189"/>
        <v>0</v>
      </c>
      <c r="BI90">
        <f t="shared" si="189"/>
        <v>0</v>
      </c>
      <c r="BJ90">
        <f t="shared" si="189"/>
        <v>0</v>
      </c>
      <c r="BK90">
        <f t="shared" si="189"/>
        <v>0</v>
      </c>
      <c r="BL90">
        <f t="shared" si="189"/>
        <v>0</v>
      </c>
      <c r="BM90">
        <f t="shared" si="189"/>
        <v>0</v>
      </c>
      <c r="BN90">
        <f t="shared" si="189"/>
        <v>0</v>
      </c>
      <c r="BO90">
        <f t="shared" si="189"/>
        <v>0</v>
      </c>
      <c r="BP90">
        <f t="shared" si="189"/>
        <v>0</v>
      </c>
      <c r="BQ90">
        <f t="shared" si="189"/>
        <v>0</v>
      </c>
      <c r="BR90">
        <f t="shared" si="189"/>
        <v>0</v>
      </c>
      <c r="BS90">
        <f t="shared" si="189"/>
        <v>0</v>
      </c>
      <c r="BT90">
        <f t="shared" si="189"/>
        <v>0</v>
      </c>
      <c r="BU90">
        <f t="shared" si="189"/>
        <v>0</v>
      </c>
      <c r="BV90">
        <f t="shared" si="189"/>
        <v>0</v>
      </c>
      <c r="BW90">
        <f t="shared" si="189"/>
        <v>0</v>
      </c>
      <c r="BX90">
        <f t="shared" si="189"/>
        <v>0</v>
      </c>
      <c r="BY90">
        <f t="shared" si="189"/>
        <v>0</v>
      </c>
      <c r="BZ90">
        <f t="shared" si="189"/>
        <v>0</v>
      </c>
      <c r="CA90">
        <f t="shared" si="189"/>
        <v>0</v>
      </c>
      <c r="CB90">
        <f t="shared" si="189"/>
        <v>0</v>
      </c>
      <c r="CC90">
        <f t="shared" si="189"/>
        <v>0</v>
      </c>
      <c r="CD90">
        <f t="shared" si="189"/>
        <v>0</v>
      </c>
      <c r="CE90">
        <f t="shared" si="189"/>
        <v>0</v>
      </c>
      <c r="CF90">
        <f t="shared" si="189"/>
        <v>0</v>
      </c>
      <c r="CG90">
        <f t="shared" si="189"/>
        <v>0</v>
      </c>
      <c r="CH90">
        <f t="shared" si="189"/>
        <v>0</v>
      </c>
      <c r="CI90">
        <f t="shared" si="189"/>
        <v>0</v>
      </c>
      <c r="CJ90">
        <f t="shared" si="189"/>
        <v>0</v>
      </c>
      <c r="CK90">
        <f t="shared" si="189"/>
        <v>0</v>
      </c>
      <c r="CL90">
        <f t="shared" si="189"/>
        <v>0</v>
      </c>
      <c r="CM90">
        <f t="shared" si="189"/>
        <v>0</v>
      </c>
      <c r="CN90">
        <f t="shared" si="189"/>
        <v>0</v>
      </c>
      <c r="CO90">
        <f t="shared" ref="CO90:DN90" si="190">CN91/CN$3</f>
        <v>0</v>
      </c>
      <c r="CP90">
        <f t="shared" si="190"/>
        <v>0</v>
      </c>
      <c r="CQ90">
        <f t="shared" si="190"/>
        <v>0</v>
      </c>
      <c r="CR90">
        <f t="shared" si="190"/>
        <v>0</v>
      </c>
      <c r="CS90">
        <f t="shared" si="190"/>
        <v>0</v>
      </c>
      <c r="CT90">
        <f t="shared" si="190"/>
        <v>0</v>
      </c>
      <c r="CU90">
        <f t="shared" si="190"/>
        <v>0</v>
      </c>
      <c r="CV90">
        <f t="shared" si="190"/>
        <v>0</v>
      </c>
      <c r="CW90">
        <f t="shared" si="190"/>
        <v>0</v>
      </c>
      <c r="CX90">
        <f t="shared" si="190"/>
        <v>0</v>
      </c>
      <c r="CY90">
        <f t="shared" si="190"/>
        <v>0</v>
      </c>
      <c r="CZ90">
        <f t="shared" si="190"/>
        <v>0</v>
      </c>
      <c r="DA90">
        <f t="shared" si="190"/>
        <v>0</v>
      </c>
      <c r="DB90">
        <f t="shared" si="190"/>
        <v>0</v>
      </c>
      <c r="DC90">
        <f t="shared" si="190"/>
        <v>0</v>
      </c>
      <c r="DD90">
        <f t="shared" si="190"/>
        <v>0</v>
      </c>
      <c r="DE90">
        <f t="shared" si="190"/>
        <v>0</v>
      </c>
      <c r="DF90">
        <f t="shared" si="190"/>
        <v>0</v>
      </c>
      <c r="DG90">
        <f t="shared" si="190"/>
        <v>0</v>
      </c>
      <c r="DH90">
        <f t="shared" si="190"/>
        <v>0</v>
      </c>
      <c r="DI90">
        <f t="shared" si="190"/>
        <v>0</v>
      </c>
      <c r="DJ90">
        <f t="shared" si="190"/>
        <v>0</v>
      </c>
      <c r="DK90">
        <f t="shared" si="190"/>
        <v>0</v>
      </c>
      <c r="DL90">
        <f t="shared" si="190"/>
        <v>0</v>
      </c>
      <c r="DM90">
        <f t="shared" si="190"/>
        <v>0</v>
      </c>
      <c r="DN90">
        <f t="shared" si="190"/>
        <v>0</v>
      </c>
    </row>
    <row r="91" spans="1:118" x14ac:dyDescent="0.2">
      <c r="A91">
        <v>87</v>
      </c>
      <c r="B91">
        <v>106</v>
      </c>
      <c r="C91">
        <f t="shared" si="141"/>
        <v>1.4339400042295759E-2</v>
      </c>
      <c r="D91">
        <f t="shared" si="142"/>
        <v>2.0561839357299163E-4</v>
      </c>
      <c r="E91">
        <v>0.59783000000000008</v>
      </c>
      <c r="F91">
        <f t="shared" si="137"/>
        <v>0.40216999999999992</v>
      </c>
      <c r="G91" s="34">
        <f t="shared" si="146"/>
        <v>3.0385059446839305E-5</v>
      </c>
      <c r="H91" s="34"/>
      <c r="I91">
        <v>921.9845421676099</v>
      </c>
      <c r="J91">
        <v>106</v>
      </c>
      <c r="K91" s="38">
        <f t="shared" si="147"/>
        <v>921.98454223715748</v>
      </c>
      <c r="L91" s="22">
        <f t="shared" si="138"/>
        <v>886.48762604059016</v>
      </c>
      <c r="M91" s="23">
        <f t="shared" si="143"/>
        <v>439.52824054796787</v>
      </c>
      <c r="T91" s="59">
        <v>911.22</v>
      </c>
      <c r="U91">
        <v>0.59783000000000008</v>
      </c>
      <c r="V91">
        <v>0.25</v>
      </c>
      <c r="W91">
        <v>3.9210560847676823E-2</v>
      </c>
      <c r="Z91">
        <f t="shared" si="150"/>
        <v>0.53127999999999997</v>
      </c>
      <c r="AA91">
        <f t="shared" si="151"/>
        <v>0.46872000000000003</v>
      </c>
      <c r="AB91" s="34">
        <f t="shared" si="154"/>
        <v>1.734015166366018E-4</v>
      </c>
      <c r="AC91">
        <f t="shared" ref="AC91:CN91" si="191">AB92/AB$3</f>
        <v>7.5630674408374394E-5</v>
      </c>
      <c r="AD91">
        <f t="shared" si="191"/>
        <v>3.044866391056112E-5</v>
      </c>
      <c r="AE91">
        <f t="shared" si="191"/>
        <v>1.122842110130573E-5</v>
      </c>
      <c r="AF91">
        <f t="shared" si="191"/>
        <v>3.7607178906582743E-6</v>
      </c>
      <c r="AG91">
        <f t="shared" si="191"/>
        <v>1.1338028657955649E-6</v>
      </c>
      <c r="AH91">
        <f t="shared" si="191"/>
        <v>3.0437790344797137E-7</v>
      </c>
      <c r="AI91">
        <f t="shared" si="191"/>
        <v>0</v>
      </c>
      <c r="AJ91">
        <f t="shared" si="191"/>
        <v>0</v>
      </c>
      <c r="AK91">
        <f t="shared" si="191"/>
        <v>0</v>
      </c>
      <c r="AL91">
        <f t="shared" si="191"/>
        <v>0</v>
      </c>
      <c r="AM91">
        <f t="shared" si="191"/>
        <v>0</v>
      </c>
      <c r="AN91">
        <f t="shared" si="191"/>
        <v>0</v>
      </c>
      <c r="AO91">
        <f t="shared" si="191"/>
        <v>0</v>
      </c>
      <c r="AP91">
        <f t="shared" si="191"/>
        <v>0</v>
      </c>
      <c r="AQ91">
        <f t="shared" si="191"/>
        <v>0</v>
      </c>
      <c r="AR91">
        <f t="shared" si="191"/>
        <v>0</v>
      </c>
      <c r="AS91">
        <f t="shared" si="191"/>
        <v>0</v>
      </c>
      <c r="AT91">
        <f t="shared" si="191"/>
        <v>0</v>
      </c>
      <c r="AU91">
        <f t="shared" si="191"/>
        <v>0</v>
      </c>
      <c r="AV91">
        <f t="shared" si="191"/>
        <v>0</v>
      </c>
      <c r="AW91">
        <f t="shared" si="191"/>
        <v>0</v>
      </c>
      <c r="AX91">
        <f t="shared" si="191"/>
        <v>0</v>
      </c>
      <c r="AY91">
        <f t="shared" si="191"/>
        <v>0</v>
      </c>
      <c r="AZ91">
        <f t="shared" si="191"/>
        <v>0</v>
      </c>
      <c r="BA91">
        <f t="shared" si="191"/>
        <v>0</v>
      </c>
      <c r="BB91">
        <f t="shared" si="191"/>
        <v>0</v>
      </c>
      <c r="BC91">
        <f t="shared" si="191"/>
        <v>0</v>
      </c>
      <c r="BD91">
        <f t="shared" si="191"/>
        <v>0</v>
      </c>
      <c r="BE91">
        <f t="shared" si="191"/>
        <v>0</v>
      </c>
      <c r="BF91">
        <f t="shared" si="191"/>
        <v>0</v>
      </c>
      <c r="BG91">
        <f t="shared" si="191"/>
        <v>0</v>
      </c>
      <c r="BH91">
        <f t="shared" si="191"/>
        <v>0</v>
      </c>
      <c r="BI91">
        <f t="shared" si="191"/>
        <v>0</v>
      </c>
      <c r="BJ91">
        <f t="shared" si="191"/>
        <v>0</v>
      </c>
      <c r="BK91">
        <f t="shared" si="191"/>
        <v>0</v>
      </c>
      <c r="BL91">
        <f t="shared" si="191"/>
        <v>0</v>
      </c>
      <c r="BM91">
        <f t="shared" si="191"/>
        <v>0</v>
      </c>
      <c r="BN91">
        <f t="shared" si="191"/>
        <v>0</v>
      </c>
      <c r="BO91">
        <f t="shared" si="191"/>
        <v>0</v>
      </c>
      <c r="BP91">
        <f t="shared" si="191"/>
        <v>0</v>
      </c>
      <c r="BQ91">
        <f t="shared" si="191"/>
        <v>0</v>
      </c>
      <c r="BR91">
        <f t="shared" si="191"/>
        <v>0</v>
      </c>
      <c r="BS91">
        <f t="shared" si="191"/>
        <v>0</v>
      </c>
      <c r="BT91">
        <f t="shared" si="191"/>
        <v>0</v>
      </c>
      <c r="BU91">
        <f t="shared" si="191"/>
        <v>0</v>
      </c>
      <c r="BV91">
        <f t="shared" si="191"/>
        <v>0</v>
      </c>
      <c r="BW91">
        <f t="shared" si="191"/>
        <v>0</v>
      </c>
      <c r="BX91">
        <f t="shared" si="191"/>
        <v>0</v>
      </c>
      <c r="BY91">
        <f t="shared" si="191"/>
        <v>0</v>
      </c>
      <c r="BZ91">
        <f t="shared" si="191"/>
        <v>0</v>
      </c>
      <c r="CA91">
        <f t="shared" si="191"/>
        <v>0</v>
      </c>
      <c r="CB91">
        <f t="shared" si="191"/>
        <v>0</v>
      </c>
      <c r="CC91">
        <f t="shared" si="191"/>
        <v>0</v>
      </c>
      <c r="CD91">
        <f t="shared" si="191"/>
        <v>0</v>
      </c>
      <c r="CE91">
        <f t="shared" si="191"/>
        <v>0</v>
      </c>
      <c r="CF91">
        <f t="shared" si="191"/>
        <v>0</v>
      </c>
      <c r="CG91">
        <f t="shared" si="191"/>
        <v>0</v>
      </c>
      <c r="CH91">
        <f t="shared" si="191"/>
        <v>0</v>
      </c>
      <c r="CI91">
        <f t="shared" si="191"/>
        <v>0</v>
      </c>
      <c r="CJ91">
        <f t="shared" si="191"/>
        <v>0</v>
      </c>
      <c r="CK91">
        <f t="shared" si="191"/>
        <v>0</v>
      </c>
      <c r="CL91">
        <f t="shared" si="191"/>
        <v>0</v>
      </c>
      <c r="CM91">
        <f t="shared" si="191"/>
        <v>0</v>
      </c>
      <c r="CN91">
        <f t="shared" si="191"/>
        <v>0</v>
      </c>
      <c r="CO91">
        <f t="shared" ref="CO91:DN91" si="192">CN92/CN$3</f>
        <v>0</v>
      </c>
      <c r="CP91">
        <f t="shared" si="192"/>
        <v>0</v>
      </c>
      <c r="CQ91">
        <f t="shared" si="192"/>
        <v>0</v>
      </c>
      <c r="CR91">
        <f t="shared" si="192"/>
        <v>0</v>
      </c>
      <c r="CS91">
        <f t="shared" si="192"/>
        <v>0</v>
      </c>
      <c r="CT91">
        <f t="shared" si="192"/>
        <v>0</v>
      </c>
      <c r="CU91">
        <f t="shared" si="192"/>
        <v>0</v>
      </c>
      <c r="CV91">
        <f t="shared" si="192"/>
        <v>0</v>
      </c>
      <c r="CW91">
        <f t="shared" si="192"/>
        <v>0</v>
      </c>
      <c r="CX91">
        <f t="shared" si="192"/>
        <v>0</v>
      </c>
      <c r="CY91">
        <f t="shared" si="192"/>
        <v>0</v>
      </c>
      <c r="CZ91">
        <f t="shared" si="192"/>
        <v>0</v>
      </c>
      <c r="DA91">
        <f t="shared" si="192"/>
        <v>0</v>
      </c>
      <c r="DB91">
        <f t="shared" si="192"/>
        <v>0</v>
      </c>
      <c r="DC91">
        <f t="shared" si="192"/>
        <v>0</v>
      </c>
      <c r="DD91">
        <f t="shared" si="192"/>
        <v>0</v>
      </c>
      <c r="DE91">
        <f t="shared" si="192"/>
        <v>0</v>
      </c>
      <c r="DF91">
        <f t="shared" si="192"/>
        <v>0</v>
      </c>
      <c r="DG91">
        <f t="shared" si="192"/>
        <v>0</v>
      </c>
      <c r="DH91">
        <f t="shared" si="192"/>
        <v>0</v>
      </c>
      <c r="DI91">
        <f t="shared" si="192"/>
        <v>0</v>
      </c>
      <c r="DJ91">
        <f t="shared" si="192"/>
        <v>0</v>
      </c>
      <c r="DK91">
        <f t="shared" si="192"/>
        <v>0</v>
      </c>
      <c r="DL91">
        <f t="shared" si="192"/>
        <v>0</v>
      </c>
      <c r="DM91">
        <f t="shared" si="192"/>
        <v>0</v>
      </c>
      <c r="DN91">
        <f t="shared" si="192"/>
        <v>0</v>
      </c>
    </row>
    <row r="92" spans="1:118" x14ac:dyDescent="0.2">
      <c r="A92">
        <v>88</v>
      </c>
      <c r="B92">
        <v>107</v>
      </c>
      <c r="C92">
        <f t="shared" si="141"/>
        <v>1.3656571468853105E-2</v>
      </c>
      <c r="D92">
        <f t="shared" si="142"/>
        <v>1.8650194428389266E-4</v>
      </c>
      <c r="E92">
        <v>0.63163999999999998</v>
      </c>
      <c r="F92">
        <f t="shared" si="137"/>
        <v>0.36836000000000002</v>
      </c>
      <c r="G92" s="34">
        <f t="shared" si="146"/>
        <v>1.1192640497837727E-5</v>
      </c>
      <c r="H92" s="34"/>
      <c r="I92">
        <v>920.6399514533415</v>
      </c>
      <c r="J92">
        <v>107</v>
      </c>
      <c r="K92" s="38">
        <f t="shared" si="147"/>
        <v>920.63995163491904</v>
      </c>
      <c r="L92" s="22">
        <f t="shared" si="138"/>
        <v>907.74934312349342</v>
      </c>
      <c r="M92" s="23">
        <f t="shared" si="143"/>
        <v>439.52824054796787</v>
      </c>
      <c r="T92" s="60">
        <v>915.19</v>
      </c>
      <c r="U92">
        <v>0.63163999999999998</v>
      </c>
      <c r="V92">
        <v>0.33333333333333331</v>
      </c>
      <c r="W92">
        <v>3.9210560847676823E-2</v>
      </c>
      <c r="Z92">
        <f t="shared" si="150"/>
        <v>0.56428999999999996</v>
      </c>
      <c r="AA92">
        <f t="shared" si="151"/>
        <v>0.43571000000000004</v>
      </c>
      <c r="AB92" s="34">
        <f t="shared" si="154"/>
        <v>7.5552774813733773E-5</v>
      </c>
      <c r="AC92">
        <f t="shared" ref="AC92:CN92" si="193">AB93/AB$3</f>
        <v>3.0416388326815926E-5</v>
      </c>
      <c r="AD92">
        <f t="shared" si="193"/>
        <v>1.1216069838094294E-5</v>
      </c>
      <c r="AE92">
        <f t="shared" si="193"/>
        <v>3.7564682794418308E-6</v>
      </c>
      <c r="AF92">
        <f t="shared" si="193"/>
        <v>1.1324649784139261E-6</v>
      </c>
      <c r="AG92">
        <f t="shared" si="193"/>
        <v>3.0400656240576484E-7</v>
      </c>
      <c r="AH92">
        <f t="shared" si="193"/>
        <v>0</v>
      </c>
      <c r="AI92">
        <f t="shared" si="193"/>
        <v>0</v>
      </c>
      <c r="AJ92">
        <f t="shared" si="193"/>
        <v>0</v>
      </c>
      <c r="AK92">
        <f t="shared" si="193"/>
        <v>0</v>
      </c>
      <c r="AL92">
        <f t="shared" si="193"/>
        <v>0</v>
      </c>
      <c r="AM92">
        <f t="shared" si="193"/>
        <v>0</v>
      </c>
      <c r="AN92">
        <f t="shared" si="193"/>
        <v>0</v>
      </c>
      <c r="AO92">
        <f t="shared" si="193"/>
        <v>0</v>
      </c>
      <c r="AP92">
        <f t="shared" si="193"/>
        <v>0</v>
      </c>
      <c r="AQ92">
        <f t="shared" si="193"/>
        <v>0</v>
      </c>
      <c r="AR92">
        <f t="shared" si="193"/>
        <v>0</v>
      </c>
      <c r="AS92">
        <f t="shared" si="193"/>
        <v>0</v>
      </c>
      <c r="AT92">
        <f t="shared" si="193"/>
        <v>0</v>
      </c>
      <c r="AU92">
        <f t="shared" si="193"/>
        <v>0</v>
      </c>
      <c r="AV92">
        <f t="shared" si="193"/>
        <v>0</v>
      </c>
      <c r="AW92">
        <f t="shared" si="193"/>
        <v>0</v>
      </c>
      <c r="AX92">
        <f t="shared" si="193"/>
        <v>0</v>
      </c>
      <c r="AY92">
        <f t="shared" si="193"/>
        <v>0</v>
      </c>
      <c r="AZ92">
        <f t="shared" si="193"/>
        <v>0</v>
      </c>
      <c r="BA92">
        <f t="shared" si="193"/>
        <v>0</v>
      </c>
      <c r="BB92">
        <f t="shared" si="193"/>
        <v>0</v>
      </c>
      <c r="BC92">
        <f t="shared" si="193"/>
        <v>0</v>
      </c>
      <c r="BD92">
        <f t="shared" si="193"/>
        <v>0</v>
      </c>
      <c r="BE92">
        <f t="shared" si="193"/>
        <v>0</v>
      </c>
      <c r="BF92">
        <f t="shared" si="193"/>
        <v>0</v>
      </c>
      <c r="BG92">
        <f t="shared" si="193"/>
        <v>0</v>
      </c>
      <c r="BH92">
        <f t="shared" si="193"/>
        <v>0</v>
      </c>
      <c r="BI92">
        <f t="shared" si="193"/>
        <v>0</v>
      </c>
      <c r="BJ92">
        <f t="shared" si="193"/>
        <v>0</v>
      </c>
      <c r="BK92">
        <f t="shared" si="193"/>
        <v>0</v>
      </c>
      <c r="BL92">
        <f t="shared" si="193"/>
        <v>0</v>
      </c>
      <c r="BM92">
        <f t="shared" si="193"/>
        <v>0</v>
      </c>
      <c r="BN92">
        <f t="shared" si="193"/>
        <v>0</v>
      </c>
      <c r="BO92">
        <f t="shared" si="193"/>
        <v>0</v>
      </c>
      <c r="BP92">
        <f t="shared" si="193"/>
        <v>0</v>
      </c>
      <c r="BQ92">
        <f t="shared" si="193"/>
        <v>0</v>
      </c>
      <c r="BR92">
        <f t="shared" si="193"/>
        <v>0</v>
      </c>
      <c r="BS92">
        <f t="shared" si="193"/>
        <v>0</v>
      </c>
      <c r="BT92">
        <f t="shared" si="193"/>
        <v>0</v>
      </c>
      <c r="BU92">
        <f t="shared" si="193"/>
        <v>0</v>
      </c>
      <c r="BV92">
        <f t="shared" si="193"/>
        <v>0</v>
      </c>
      <c r="BW92">
        <f t="shared" si="193"/>
        <v>0</v>
      </c>
      <c r="BX92">
        <f t="shared" si="193"/>
        <v>0</v>
      </c>
      <c r="BY92">
        <f t="shared" si="193"/>
        <v>0</v>
      </c>
      <c r="BZ92">
        <f t="shared" si="193"/>
        <v>0</v>
      </c>
      <c r="CA92">
        <f t="shared" si="193"/>
        <v>0</v>
      </c>
      <c r="CB92">
        <f t="shared" si="193"/>
        <v>0</v>
      </c>
      <c r="CC92">
        <f t="shared" si="193"/>
        <v>0</v>
      </c>
      <c r="CD92">
        <f t="shared" si="193"/>
        <v>0</v>
      </c>
      <c r="CE92">
        <f t="shared" si="193"/>
        <v>0</v>
      </c>
      <c r="CF92">
        <f t="shared" si="193"/>
        <v>0</v>
      </c>
      <c r="CG92">
        <f t="shared" si="193"/>
        <v>0</v>
      </c>
      <c r="CH92">
        <f t="shared" si="193"/>
        <v>0</v>
      </c>
      <c r="CI92">
        <f t="shared" si="193"/>
        <v>0</v>
      </c>
      <c r="CJ92">
        <f t="shared" si="193"/>
        <v>0</v>
      </c>
      <c r="CK92">
        <f t="shared" si="193"/>
        <v>0</v>
      </c>
      <c r="CL92">
        <f t="shared" si="193"/>
        <v>0</v>
      </c>
      <c r="CM92">
        <f t="shared" si="193"/>
        <v>0</v>
      </c>
      <c r="CN92">
        <f t="shared" si="193"/>
        <v>0</v>
      </c>
      <c r="CO92">
        <f t="shared" ref="CO92:DN92" si="194">CN93/CN$3</f>
        <v>0</v>
      </c>
      <c r="CP92">
        <f t="shared" si="194"/>
        <v>0</v>
      </c>
      <c r="CQ92">
        <f t="shared" si="194"/>
        <v>0</v>
      </c>
      <c r="CR92">
        <f t="shared" si="194"/>
        <v>0</v>
      </c>
      <c r="CS92">
        <f t="shared" si="194"/>
        <v>0</v>
      </c>
      <c r="CT92">
        <f t="shared" si="194"/>
        <v>0</v>
      </c>
      <c r="CU92">
        <f t="shared" si="194"/>
        <v>0</v>
      </c>
      <c r="CV92">
        <f t="shared" si="194"/>
        <v>0</v>
      </c>
      <c r="CW92">
        <f t="shared" si="194"/>
        <v>0</v>
      </c>
      <c r="CX92">
        <f t="shared" si="194"/>
        <v>0</v>
      </c>
      <c r="CY92">
        <f t="shared" si="194"/>
        <v>0</v>
      </c>
      <c r="CZ92">
        <f t="shared" si="194"/>
        <v>0</v>
      </c>
      <c r="DA92">
        <f t="shared" si="194"/>
        <v>0</v>
      </c>
      <c r="DB92">
        <f t="shared" si="194"/>
        <v>0</v>
      </c>
      <c r="DC92">
        <f t="shared" si="194"/>
        <v>0</v>
      </c>
      <c r="DD92">
        <f t="shared" si="194"/>
        <v>0</v>
      </c>
      <c r="DE92">
        <f t="shared" si="194"/>
        <v>0</v>
      </c>
      <c r="DF92">
        <f t="shared" si="194"/>
        <v>0</v>
      </c>
      <c r="DG92">
        <f t="shared" si="194"/>
        <v>0</v>
      </c>
      <c r="DH92">
        <f t="shared" si="194"/>
        <v>0</v>
      </c>
      <c r="DI92">
        <f t="shared" si="194"/>
        <v>0</v>
      </c>
      <c r="DJ92">
        <f t="shared" si="194"/>
        <v>0</v>
      </c>
      <c r="DK92">
        <f t="shared" si="194"/>
        <v>0</v>
      </c>
      <c r="DL92">
        <f t="shared" si="194"/>
        <v>0</v>
      </c>
      <c r="DM92">
        <f t="shared" si="194"/>
        <v>0</v>
      </c>
      <c r="DN92">
        <f t="shared" si="194"/>
        <v>0</v>
      </c>
    </row>
    <row r="93" spans="1:118" x14ac:dyDescent="0.2">
      <c r="A93">
        <v>89</v>
      </c>
      <c r="B93">
        <v>108</v>
      </c>
      <c r="C93">
        <f t="shared" si="141"/>
        <v>1.3006258541764862E-2</v>
      </c>
      <c r="D93">
        <f t="shared" si="142"/>
        <v>1.6916276125523142E-4</v>
      </c>
      <c r="E93">
        <v>0.6654500000000001</v>
      </c>
      <c r="F93">
        <f t="shared" si="137"/>
        <v>0.3345499999999999</v>
      </c>
      <c r="G93" s="34">
        <f t="shared" si="146"/>
        <v>3.7444978785516108E-6</v>
      </c>
      <c r="H93" s="34"/>
      <c r="I93">
        <v>909.52315405040918</v>
      </c>
      <c r="J93">
        <v>108</v>
      </c>
      <c r="K93" s="38">
        <f t="shared" si="147"/>
        <v>909.52315456799056</v>
      </c>
      <c r="L93" s="22">
        <f t="shared" si="138"/>
        <v>929.70521541950143</v>
      </c>
      <c r="M93" s="23">
        <f t="shared" si="143"/>
        <v>439.52824054796787</v>
      </c>
      <c r="T93" s="60">
        <v>918.82</v>
      </c>
      <c r="U93">
        <v>0.6654500000000001</v>
      </c>
      <c r="V93">
        <v>0.5</v>
      </c>
      <c r="W93">
        <v>3.9210560847676823E-2</v>
      </c>
      <c r="Z93">
        <f t="shared" si="150"/>
        <v>0.59783000000000008</v>
      </c>
      <c r="AA93">
        <f t="shared" si="151"/>
        <v>0.40216999999999992</v>
      </c>
      <c r="AB93" s="34">
        <f t="shared" si="154"/>
        <v>3.0385059446839305E-5</v>
      </c>
      <c r="AC93">
        <f t="shared" ref="AC93:CN93" si="195">AB94/AB$3</f>
        <v>1.1204180804065916E-5</v>
      </c>
      <c r="AD93">
        <f t="shared" si="195"/>
        <v>3.752336164334445E-6</v>
      </c>
      <c r="AE93">
        <f t="shared" si="195"/>
        <v>1.1311852929883183E-6</v>
      </c>
      <c r="AF93">
        <f t="shared" si="195"/>
        <v>3.0364783466212605E-7</v>
      </c>
      <c r="AG93">
        <f t="shared" si="195"/>
        <v>0</v>
      </c>
      <c r="AH93">
        <f t="shared" si="195"/>
        <v>0</v>
      </c>
      <c r="AI93">
        <f t="shared" si="195"/>
        <v>0</v>
      </c>
      <c r="AJ93">
        <f t="shared" si="195"/>
        <v>0</v>
      </c>
      <c r="AK93">
        <f t="shared" si="195"/>
        <v>0</v>
      </c>
      <c r="AL93">
        <f t="shared" si="195"/>
        <v>0</v>
      </c>
      <c r="AM93">
        <f t="shared" si="195"/>
        <v>0</v>
      </c>
      <c r="AN93">
        <f t="shared" si="195"/>
        <v>0</v>
      </c>
      <c r="AO93">
        <f t="shared" si="195"/>
        <v>0</v>
      </c>
      <c r="AP93">
        <f t="shared" si="195"/>
        <v>0</v>
      </c>
      <c r="AQ93">
        <f t="shared" si="195"/>
        <v>0</v>
      </c>
      <c r="AR93">
        <f t="shared" si="195"/>
        <v>0</v>
      </c>
      <c r="AS93">
        <f t="shared" si="195"/>
        <v>0</v>
      </c>
      <c r="AT93">
        <f t="shared" si="195"/>
        <v>0</v>
      </c>
      <c r="AU93">
        <f t="shared" si="195"/>
        <v>0</v>
      </c>
      <c r="AV93">
        <f t="shared" si="195"/>
        <v>0</v>
      </c>
      <c r="AW93">
        <f t="shared" si="195"/>
        <v>0</v>
      </c>
      <c r="AX93">
        <f t="shared" si="195"/>
        <v>0</v>
      </c>
      <c r="AY93">
        <f t="shared" si="195"/>
        <v>0</v>
      </c>
      <c r="AZ93">
        <f t="shared" si="195"/>
        <v>0</v>
      </c>
      <c r="BA93">
        <f t="shared" si="195"/>
        <v>0</v>
      </c>
      <c r="BB93">
        <f t="shared" si="195"/>
        <v>0</v>
      </c>
      <c r="BC93">
        <f t="shared" si="195"/>
        <v>0</v>
      </c>
      <c r="BD93">
        <f t="shared" si="195"/>
        <v>0</v>
      </c>
      <c r="BE93">
        <f t="shared" si="195"/>
        <v>0</v>
      </c>
      <c r="BF93">
        <f t="shared" si="195"/>
        <v>0</v>
      </c>
      <c r="BG93">
        <f t="shared" si="195"/>
        <v>0</v>
      </c>
      <c r="BH93">
        <f t="shared" si="195"/>
        <v>0</v>
      </c>
      <c r="BI93">
        <f t="shared" si="195"/>
        <v>0</v>
      </c>
      <c r="BJ93">
        <f t="shared" si="195"/>
        <v>0</v>
      </c>
      <c r="BK93">
        <f t="shared" si="195"/>
        <v>0</v>
      </c>
      <c r="BL93">
        <f t="shared" si="195"/>
        <v>0</v>
      </c>
      <c r="BM93">
        <f t="shared" si="195"/>
        <v>0</v>
      </c>
      <c r="BN93">
        <f t="shared" si="195"/>
        <v>0</v>
      </c>
      <c r="BO93">
        <f t="shared" si="195"/>
        <v>0</v>
      </c>
      <c r="BP93">
        <f t="shared" si="195"/>
        <v>0</v>
      </c>
      <c r="BQ93">
        <f t="shared" si="195"/>
        <v>0</v>
      </c>
      <c r="BR93">
        <f t="shared" si="195"/>
        <v>0</v>
      </c>
      <c r="BS93">
        <f t="shared" si="195"/>
        <v>0</v>
      </c>
      <c r="BT93">
        <f t="shared" si="195"/>
        <v>0</v>
      </c>
      <c r="BU93">
        <f t="shared" si="195"/>
        <v>0</v>
      </c>
      <c r="BV93">
        <f t="shared" si="195"/>
        <v>0</v>
      </c>
      <c r="BW93">
        <f t="shared" si="195"/>
        <v>0</v>
      </c>
      <c r="BX93">
        <f t="shared" si="195"/>
        <v>0</v>
      </c>
      <c r="BY93">
        <f t="shared" si="195"/>
        <v>0</v>
      </c>
      <c r="BZ93">
        <f t="shared" si="195"/>
        <v>0</v>
      </c>
      <c r="CA93">
        <f t="shared" si="195"/>
        <v>0</v>
      </c>
      <c r="CB93">
        <f t="shared" si="195"/>
        <v>0</v>
      </c>
      <c r="CC93">
        <f t="shared" si="195"/>
        <v>0</v>
      </c>
      <c r="CD93">
        <f t="shared" si="195"/>
        <v>0</v>
      </c>
      <c r="CE93">
        <f t="shared" si="195"/>
        <v>0</v>
      </c>
      <c r="CF93">
        <f t="shared" si="195"/>
        <v>0</v>
      </c>
      <c r="CG93">
        <f t="shared" si="195"/>
        <v>0</v>
      </c>
      <c r="CH93">
        <f t="shared" si="195"/>
        <v>0</v>
      </c>
      <c r="CI93">
        <f t="shared" si="195"/>
        <v>0</v>
      </c>
      <c r="CJ93">
        <f t="shared" si="195"/>
        <v>0</v>
      </c>
      <c r="CK93">
        <f t="shared" si="195"/>
        <v>0</v>
      </c>
      <c r="CL93">
        <f t="shared" si="195"/>
        <v>0</v>
      </c>
      <c r="CM93">
        <f t="shared" si="195"/>
        <v>0</v>
      </c>
      <c r="CN93">
        <f t="shared" si="195"/>
        <v>0</v>
      </c>
      <c r="CO93">
        <f t="shared" ref="CO93:DN93" si="196">CN94/CN$3</f>
        <v>0</v>
      </c>
      <c r="CP93">
        <f t="shared" si="196"/>
        <v>0</v>
      </c>
      <c r="CQ93">
        <f t="shared" si="196"/>
        <v>0</v>
      </c>
      <c r="CR93">
        <f t="shared" si="196"/>
        <v>0</v>
      </c>
      <c r="CS93">
        <f t="shared" si="196"/>
        <v>0</v>
      </c>
      <c r="CT93">
        <f t="shared" si="196"/>
        <v>0</v>
      </c>
      <c r="CU93">
        <f t="shared" si="196"/>
        <v>0</v>
      </c>
      <c r="CV93">
        <f t="shared" si="196"/>
        <v>0</v>
      </c>
      <c r="CW93">
        <f t="shared" si="196"/>
        <v>0</v>
      </c>
      <c r="CX93">
        <f t="shared" si="196"/>
        <v>0</v>
      </c>
      <c r="CY93">
        <f t="shared" si="196"/>
        <v>0</v>
      </c>
      <c r="CZ93">
        <f t="shared" si="196"/>
        <v>0</v>
      </c>
      <c r="DA93">
        <f t="shared" si="196"/>
        <v>0</v>
      </c>
      <c r="DB93">
        <f t="shared" si="196"/>
        <v>0</v>
      </c>
      <c r="DC93">
        <f t="shared" si="196"/>
        <v>0</v>
      </c>
      <c r="DD93">
        <f t="shared" si="196"/>
        <v>0</v>
      </c>
      <c r="DE93">
        <f t="shared" si="196"/>
        <v>0</v>
      </c>
      <c r="DF93">
        <f t="shared" si="196"/>
        <v>0</v>
      </c>
      <c r="DG93">
        <f t="shared" si="196"/>
        <v>0</v>
      </c>
      <c r="DH93">
        <f t="shared" si="196"/>
        <v>0</v>
      </c>
      <c r="DI93">
        <f t="shared" si="196"/>
        <v>0</v>
      </c>
      <c r="DJ93">
        <f t="shared" si="196"/>
        <v>0</v>
      </c>
      <c r="DK93">
        <f t="shared" si="196"/>
        <v>0</v>
      </c>
      <c r="DL93">
        <f t="shared" si="196"/>
        <v>0</v>
      </c>
      <c r="DM93">
        <f t="shared" si="196"/>
        <v>0</v>
      </c>
      <c r="DN93">
        <f t="shared" si="196"/>
        <v>0</v>
      </c>
    </row>
    <row r="94" spans="1:118" x14ac:dyDescent="0.2">
      <c r="A94">
        <v>90</v>
      </c>
      <c r="B94">
        <v>109</v>
      </c>
      <c r="C94">
        <f t="shared" si="141"/>
        <v>1.2386912896918914E-2</v>
      </c>
      <c r="D94">
        <f t="shared" si="142"/>
        <v>1.5343561111585613E-4</v>
      </c>
      <c r="E94">
        <v>0.69886999999999999</v>
      </c>
      <c r="F94">
        <f t="shared" si="137"/>
        <v>0.30113000000000001</v>
      </c>
      <c r="G94" s="34">
        <f t="shared" si="146"/>
        <v>1.1275806461682465E-6</v>
      </c>
      <c r="H94" s="34"/>
      <c r="I94">
        <v>865.48890077097496</v>
      </c>
      <c r="J94">
        <v>109</v>
      </c>
      <c r="K94" s="38">
        <f t="shared" si="147"/>
        <v>865.48890239542709</v>
      </c>
      <c r="L94" s="22">
        <f t="shared" si="138"/>
        <v>952.3809523809532</v>
      </c>
      <c r="M94" s="23">
        <f t="shared" si="143"/>
        <v>439.52824054796787</v>
      </c>
      <c r="T94" s="60">
        <v>922.14</v>
      </c>
      <c r="U94">
        <v>0.69886999999999999</v>
      </c>
      <c r="V94">
        <v>1</v>
      </c>
      <c r="W94">
        <v>3.9210560847676823E-2</v>
      </c>
      <c r="Z94">
        <f t="shared" si="150"/>
        <v>0.63163999999999998</v>
      </c>
      <c r="AA94">
        <f t="shared" si="151"/>
        <v>0.36836000000000002</v>
      </c>
      <c r="AB94" s="34">
        <f t="shared" si="154"/>
        <v>1.1192640497837727E-5</v>
      </c>
      <c r="AC94">
        <f t="shared" ref="AC94:CN94" si="197">AB95/AB$3</f>
        <v>3.7483586880002508E-6</v>
      </c>
      <c r="AD94">
        <f t="shared" si="197"/>
        <v>1.1299409891660313E-6</v>
      </c>
      <c r="AE94">
        <f t="shared" si="197"/>
        <v>3.0330471260895784E-7</v>
      </c>
      <c r="AF94">
        <f t="shared" si="197"/>
        <v>0</v>
      </c>
      <c r="AG94">
        <f t="shared" si="197"/>
        <v>0</v>
      </c>
      <c r="AH94">
        <f t="shared" si="197"/>
        <v>0</v>
      </c>
      <c r="AI94">
        <f t="shared" si="197"/>
        <v>0</v>
      </c>
      <c r="AJ94">
        <f t="shared" si="197"/>
        <v>0</v>
      </c>
      <c r="AK94">
        <f t="shared" si="197"/>
        <v>0</v>
      </c>
      <c r="AL94">
        <f t="shared" si="197"/>
        <v>0</v>
      </c>
      <c r="AM94">
        <f t="shared" si="197"/>
        <v>0</v>
      </c>
      <c r="AN94">
        <f t="shared" si="197"/>
        <v>0</v>
      </c>
      <c r="AO94">
        <f t="shared" si="197"/>
        <v>0</v>
      </c>
      <c r="AP94">
        <f t="shared" si="197"/>
        <v>0</v>
      </c>
      <c r="AQ94">
        <f t="shared" si="197"/>
        <v>0</v>
      </c>
      <c r="AR94">
        <f t="shared" si="197"/>
        <v>0</v>
      </c>
      <c r="AS94">
        <f t="shared" si="197"/>
        <v>0</v>
      </c>
      <c r="AT94">
        <f t="shared" si="197"/>
        <v>0</v>
      </c>
      <c r="AU94">
        <f t="shared" si="197"/>
        <v>0</v>
      </c>
      <c r="AV94">
        <f t="shared" si="197"/>
        <v>0</v>
      </c>
      <c r="AW94">
        <f t="shared" si="197"/>
        <v>0</v>
      </c>
      <c r="AX94">
        <f t="shared" si="197"/>
        <v>0</v>
      </c>
      <c r="AY94">
        <f t="shared" si="197"/>
        <v>0</v>
      </c>
      <c r="AZ94">
        <f t="shared" si="197"/>
        <v>0</v>
      </c>
      <c r="BA94">
        <f t="shared" si="197"/>
        <v>0</v>
      </c>
      <c r="BB94">
        <f t="shared" si="197"/>
        <v>0</v>
      </c>
      <c r="BC94">
        <f t="shared" si="197"/>
        <v>0</v>
      </c>
      <c r="BD94">
        <f t="shared" si="197"/>
        <v>0</v>
      </c>
      <c r="BE94">
        <f t="shared" si="197"/>
        <v>0</v>
      </c>
      <c r="BF94">
        <f t="shared" si="197"/>
        <v>0</v>
      </c>
      <c r="BG94">
        <f t="shared" si="197"/>
        <v>0</v>
      </c>
      <c r="BH94">
        <f t="shared" si="197"/>
        <v>0</v>
      </c>
      <c r="BI94">
        <f t="shared" si="197"/>
        <v>0</v>
      </c>
      <c r="BJ94">
        <f t="shared" si="197"/>
        <v>0</v>
      </c>
      <c r="BK94">
        <f t="shared" si="197"/>
        <v>0</v>
      </c>
      <c r="BL94">
        <f t="shared" si="197"/>
        <v>0</v>
      </c>
      <c r="BM94">
        <f t="shared" si="197"/>
        <v>0</v>
      </c>
      <c r="BN94">
        <f t="shared" si="197"/>
        <v>0</v>
      </c>
      <c r="BO94">
        <f t="shared" si="197"/>
        <v>0</v>
      </c>
      <c r="BP94">
        <f t="shared" si="197"/>
        <v>0</v>
      </c>
      <c r="BQ94">
        <f t="shared" si="197"/>
        <v>0</v>
      </c>
      <c r="BR94">
        <f t="shared" si="197"/>
        <v>0</v>
      </c>
      <c r="BS94">
        <f t="shared" si="197"/>
        <v>0</v>
      </c>
      <c r="BT94">
        <f t="shared" si="197"/>
        <v>0</v>
      </c>
      <c r="BU94">
        <f t="shared" si="197"/>
        <v>0</v>
      </c>
      <c r="BV94">
        <f t="shared" si="197"/>
        <v>0</v>
      </c>
      <c r="BW94">
        <f t="shared" si="197"/>
        <v>0</v>
      </c>
      <c r="BX94">
        <f t="shared" si="197"/>
        <v>0</v>
      </c>
      <c r="BY94">
        <f t="shared" si="197"/>
        <v>0</v>
      </c>
      <c r="BZ94">
        <f t="shared" si="197"/>
        <v>0</v>
      </c>
      <c r="CA94">
        <f t="shared" si="197"/>
        <v>0</v>
      </c>
      <c r="CB94">
        <f t="shared" si="197"/>
        <v>0</v>
      </c>
      <c r="CC94">
        <f t="shared" si="197"/>
        <v>0</v>
      </c>
      <c r="CD94">
        <f t="shared" si="197"/>
        <v>0</v>
      </c>
      <c r="CE94">
        <f t="shared" si="197"/>
        <v>0</v>
      </c>
      <c r="CF94">
        <f t="shared" si="197"/>
        <v>0</v>
      </c>
      <c r="CG94">
        <f t="shared" si="197"/>
        <v>0</v>
      </c>
      <c r="CH94">
        <f t="shared" si="197"/>
        <v>0</v>
      </c>
      <c r="CI94">
        <f t="shared" si="197"/>
        <v>0</v>
      </c>
      <c r="CJ94">
        <f t="shared" si="197"/>
        <v>0</v>
      </c>
      <c r="CK94">
        <f t="shared" si="197"/>
        <v>0</v>
      </c>
      <c r="CL94">
        <f t="shared" si="197"/>
        <v>0</v>
      </c>
      <c r="CM94">
        <f t="shared" si="197"/>
        <v>0</v>
      </c>
      <c r="CN94">
        <f t="shared" si="197"/>
        <v>0</v>
      </c>
      <c r="CO94">
        <f t="shared" ref="CO94:DN94" si="198">CN95/CN$3</f>
        <v>0</v>
      </c>
      <c r="CP94">
        <f t="shared" si="198"/>
        <v>0</v>
      </c>
      <c r="CQ94">
        <f t="shared" si="198"/>
        <v>0</v>
      </c>
      <c r="CR94">
        <f t="shared" si="198"/>
        <v>0</v>
      </c>
      <c r="CS94">
        <f t="shared" si="198"/>
        <v>0</v>
      </c>
      <c r="CT94">
        <f t="shared" si="198"/>
        <v>0</v>
      </c>
      <c r="CU94">
        <f t="shared" si="198"/>
        <v>0</v>
      </c>
      <c r="CV94">
        <f t="shared" si="198"/>
        <v>0</v>
      </c>
      <c r="CW94">
        <f t="shared" si="198"/>
        <v>0</v>
      </c>
      <c r="CX94">
        <f t="shared" si="198"/>
        <v>0</v>
      </c>
      <c r="CY94">
        <f t="shared" si="198"/>
        <v>0</v>
      </c>
      <c r="CZ94">
        <f t="shared" si="198"/>
        <v>0</v>
      </c>
      <c r="DA94">
        <f t="shared" si="198"/>
        <v>0</v>
      </c>
      <c r="DB94">
        <f t="shared" si="198"/>
        <v>0</v>
      </c>
      <c r="DC94">
        <f t="shared" si="198"/>
        <v>0</v>
      </c>
      <c r="DD94">
        <f t="shared" si="198"/>
        <v>0</v>
      </c>
      <c r="DE94">
        <f t="shared" si="198"/>
        <v>0</v>
      </c>
      <c r="DF94">
        <f t="shared" si="198"/>
        <v>0</v>
      </c>
      <c r="DG94">
        <f t="shared" si="198"/>
        <v>0</v>
      </c>
      <c r="DH94">
        <f t="shared" si="198"/>
        <v>0</v>
      </c>
      <c r="DI94">
        <f t="shared" si="198"/>
        <v>0</v>
      </c>
      <c r="DJ94">
        <f t="shared" si="198"/>
        <v>0</v>
      </c>
      <c r="DK94">
        <f t="shared" si="198"/>
        <v>0</v>
      </c>
      <c r="DL94">
        <f t="shared" si="198"/>
        <v>0</v>
      </c>
      <c r="DM94">
        <f t="shared" si="198"/>
        <v>0</v>
      </c>
      <c r="DN94">
        <f t="shared" si="198"/>
        <v>0</v>
      </c>
    </row>
    <row r="95" spans="1:118" x14ac:dyDescent="0.2">
      <c r="A95">
        <v>91</v>
      </c>
      <c r="B95">
        <v>110</v>
      </c>
      <c r="C95">
        <f t="shared" si="141"/>
        <v>1.1797059901827537E-2</v>
      </c>
      <c r="D95">
        <f t="shared" si="142"/>
        <v>1.3917062232730713E-4</v>
      </c>
      <c r="E95">
        <v>0.73187000000000002</v>
      </c>
      <c r="F95">
        <f t="shared" si="137"/>
        <v>0.26812999999999998</v>
      </c>
      <c r="G95" s="34">
        <f t="shared" si="146"/>
        <v>3.0233819865709192E-7</v>
      </c>
      <c r="H95" s="34"/>
      <c r="I95">
        <v>697.01904761904768</v>
      </c>
      <c r="J95">
        <v>110</v>
      </c>
      <c r="K95" s="38">
        <f t="shared" si="147"/>
        <v>697.0190532832944</v>
      </c>
      <c r="L95" s="22" t="e">
        <f t="shared" si="138"/>
        <v>#DIV/0!</v>
      </c>
      <c r="M95" s="23">
        <f t="shared" si="143"/>
        <v>439.52824054796787</v>
      </c>
      <c r="T95" s="61">
        <v>925.15</v>
      </c>
      <c r="U95">
        <v>0.73187000000000002</v>
      </c>
      <c r="V95">
        <v>1</v>
      </c>
      <c r="W95">
        <v>3.9210560847676823E-2</v>
      </c>
      <c r="Z95">
        <f t="shared" si="150"/>
        <v>0.6654500000000001</v>
      </c>
      <c r="AA95">
        <f t="shared" si="151"/>
        <v>0.3345499999999999</v>
      </c>
      <c r="AB95" s="34">
        <f t="shared" si="154"/>
        <v>3.7444978785516108E-6</v>
      </c>
      <c r="AC95">
        <f t="shared" ref="AC95:CN95" si="199">AB96/AB$3</f>
        <v>1.1287432517175154E-6</v>
      </c>
      <c r="AD95">
        <f t="shared" si="199"/>
        <v>3.0297107742508799E-7</v>
      </c>
      <c r="AE95">
        <f t="shared" si="199"/>
        <v>0</v>
      </c>
      <c r="AF95">
        <f t="shared" si="199"/>
        <v>0</v>
      </c>
      <c r="AG95">
        <f t="shared" si="199"/>
        <v>0</v>
      </c>
      <c r="AH95">
        <f t="shared" si="199"/>
        <v>0</v>
      </c>
      <c r="AI95">
        <f t="shared" si="199"/>
        <v>0</v>
      </c>
      <c r="AJ95">
        <f t="shared" si="199"/>
        <v>0</v>
      </c>
      <c r="AK95">
        <f t="shared" si="199"/>
        <v>0</v>
      </c>
      <c r="AL95">
        <f t="shared" si="199"/>
        <v>0</v>
      </c>
      <c r="AM95">
        <f t="shared" si="199"/>
        <v>0</v>
      </c>
      <c r="AN95">
        <f t="shared" si="199"/>
        <v>0</v>
      </c>
      <c r="AO95">
        <f t="shared" si="199"/>
        <v>0</v>
      </c>
      <c r="AP95">
        <f t="shared" si="199"/>
        <v>0</v>
      </c>
      <c r="AQ95">
        <f t="shared" si="199"/>
        <v>0</v>
      </c>
      <c r="AR95">
        <f t="shared" si="199"/>
        <v>0</v>
      </c>
      <c r="AS95">
        <f t="shared" si="199"/>
        <v>0</v>
      </c>
      <c r="AT95">
        <f t="shared" si="199"/>
        <v>0</v>
      </c>
      <c r="AU95">
        <f t="shared" si="199"/>
        <v>0</v>
      </c>
      <c r="AV95">
        <f t="shared" si="199"/>
        <v>0</v>
      </c>
      <c r="AW95">
        <f t="shared" si="199"/>
        <v>0</v>
      </c>
      <c r="AX95">
        <f t="shared" si="199"/>
        <v>0</v>
      </c>
      <c r="AY95">
        <f t="shared" si="199"/>
        <v>0</v>
      </c>
      <c r="AZ95">
        <f t="shared" si="199"/>
        <v>0</v>
      </c>
      <c r="BA95">
        <f t="shared" si="199"/>
        <v>0</v>
      </c>
      <c r="BB95">
        <f t="shared" si="199"/>
        <v>0</v>
      </c>
      <c r="BC95">
        <f t="shared" si="199"/>
        <v>0</v>
      </c>
      <c r="BD95">
        <f t="shared" si="199"/>
        <v>0</v>
      </c>
      <c r="BE95">
        <f t="shared" si="199"/>
        <v>0</v>
      </c>
      <c r="BF95">
        <f t="shared" si="199"/>
        <v>0</v>
      </c>
      <c r="BG95">
        <f t="shared" si="199"/>
        <v>0</v>
      </c>
      <c r="BH95">
        <f t="shared" si="199"/>
        <v>0</v>
      </c>
      <c r="BI95">
        <f t="shared" si="199"/>
        <v>0</v>
      </c>
      <c r="BJ95">
        <f t="shared" si="199"/>
        <v>0</v>
      </c>
      <c r="BK95">
        <f t="shared" si="199"/>
        <v>0</v>
      </c>
      <c r="BL95">
        <f t="shared" si="199"/>
        <v>0</v>
      </c>
      <c r="BM95">
        <f t="shared" si="199"/>
        <v>0</v>
      </c>
      <c r="BN95">
        <f t="shared" si="199"/>
        <v>0</v>
      </c>
      <c r="BO95">
        <f t="shared" si="199"/>
        <v>0</v>
      </c>
      <c r="BP95">
        <f t="shared" si="199"/>
        <v>0</v>
      </c>
      <c r="BQ95">
        <f t="shared" si="199"/>
        <v>0</v>
      </c>
      <c r="BR95">
        <f t="shared" si="199"/>
        <v>0</v>
      </c>
      <c r="BS95">
        <f t="shared" si="199"/>
        <v>0</v>
      </c>
      <c r="BT95">
        <f t="shared" si="199"/>
        <v>0</v>
      </c>
      <c r="BU95">
        <f t="shared" si="199"/>
        <v>0</v>
      </c>
      <c r="BV95">
        <f t="shared" si="199"/>
        <v>0</v>
      </c>
      <c r="BW95">
        <f t="shared" si="199"/>
        <v>0</v>
      </c>
      <c r="BX95">
        <f t="shared" si="199"/>
        <v>0</v>
      </c>
      <c r="BY95">
        <f t="shared" si="199"/>
        <v>0</v>
      </c>
      <c r="BZ95">
        <f t="shared" si="199"/>
        <v>0</v>
      </c>
      <c r="CA95">
        <f t="shared" si="199"/>
        <v>0</v>
      </c>
      <c r="CB95">
        <f t="shared" si="199"/>
        <v>0</v>
      </c>
      <c r="CC95">
        <f t="shared" si="199"/>
        <v>0</v>
      </c>
      <c r="CD95">
        <f t="shared" si="199"/>
        <v>0</v>
      </c>
      <c r="CE95">
        <f t="shared" si="199"/>
        <v>0</v>
      </c>
      <c r="CF95">
        <f t="shared" si="199"/>
        <v>0</v>
      </c>
      <c r="CG95">
        <f t="shared" si="199"/>
        <v>0</v>
      </c>
      <c r="CH95">
        <f t="shared" si="199"/>
        <v>0</v>
      </c>
      <c r="CI95">
        <f t="shared" si="199"/>
        <v>0</v>
      </c>
      <c r="CJ95">
        <f t="shared" si="199"/>
        <v>0</v>
      </c>
      <c r="CK95">
        <f t="shared" si="199"/>
        <v>0</v>
      </c>
      <c r="CL95">
        <f t="shared" si="199"/>
        <v>0</v>
      </c>
      <c r="CM95">
        <f t="shared" si="199"/>
        <v>0</v>
      </c>
      <c r="CN95">
        <f t="shared" si="199"/>
        <v>0</v>
      </c>
      <c r="CO95">
        <f t="shared" ref="CO95:DN95" si="200">CN96/CN$3</f>
        <v>0</v>
      </c>
      <c r="CP95">
        <f t="shared" si="200"/>
        <v>0</v>
      </c>
      <c r="CQ95">
        <f t="shared" si="200"/>
        <v>0</v>
      </c>
      <c r="CR95">
        <f t="shared" si="200"/>
        <v>0</v>
      </c>
      <c r="CS95">
        <f t="shared" si="200"/>
        <v>0</v>
      </c>
      <c r="CT95">
        <f t="shared" si="200"/>
        <v>0</v>
      </c>
      <c r="CU95">
        <f t="shared" si="200"/>
        <v>0</v>
      </c>
      <c r="CV95">
        <f t="shared" si="200"/>
        <v>0</v>
      </c>
      <c r="CW95">
        <f t="shared" si="200"/>
        <v>0</v>
      </c>
      <c r="CX95">
        <f t="shared" si="200"/>
        <v>0</v>
      </c>
      <c r="CY95">
        <f t="shared" si="200"/>
        <v>0</v>
      </c>
      <c r="CZ95">
        <f t="shared" si="200"/>
        <v>0</v>
      </c>
      <c r="DA95">
        <f t="shared" si="200"/>
        <v>0</v>
      </c>
      <c r="DB95">
        <f t="shared" si="200"/>
        <v>0</v>
      </c>
      <c r="DC95">
        <f t="shared" si="200"/>
        <v>0</v>
      </c>
      <c r="DD95">
        <f t="shared" si="200"/>
        <v>0</v>
      </c>
      <c r="DE95">
        <f t="shared" si="200"/>
        <v>0</v>
      </c>
      <c r="DF95">
        <f t="shared" si="200"/>
        <v>0</v>
      </c>
      <c r="DG95">
        <f t="shared" si="200"/>
        <v>0</v>
      </c>
      <c r="DH95">
        <f t="shared" si="200"/>
        <v>0</v>
      </c>
      <c r="DI95">
        <f t="shared" si="200"/>
        <v>0</v>
      </c>
      <c r="DJ95">
        <f t="shared" si="200"/>
        <v>0</v>
      </c>
      <c r="DK95">
        <f t="shared" si="200"/>
        <v>0</v>
      </c>
      <c r="DL95">
        <f t="shared" si="200"/>
        <v>0</v>
      </c>
      <c r="DM95">
        <f t="shared" si="200"/>
        <v>0</v>
      </c>
      <c r="DN95">
        <f t="shared" si="200"/>
        <v>0</v>
      </c>
    </row>
    <row r="96" spans="1:118" x14ac:dyDescent="0.2">
      <c r="Z96">
        <f t="shared" si="150"/>
        <v>0.69886999999999999</v>
      </c>
      <c r="AA96">
        <f t="shared" si="151"/>
        <v>0.30113000000000001</v>
      </c>
      <c r="AB96" s="34">
        <f t="shared" si="154"/>
        <v>1.1275806461682465E-6</v>
      </c>
      <c r="AC96">
        <f t="shared" ref="AC96:CN96" si="201">AB97/AB$3</f>
        <v>3.0264992808301741E-7</v>
      </c>
      <c r="AD96">
        <f t="shared" si="201"/>
        <v>0</v>
      </c>
      <c r="AE96">
        <f t="shared" si="201"/>
        <v>0</v>
      </c>
      <c r="AF96">
        <f t="shared" si="201"/>
        <v>0</v>
      </c>
      <c r="AG96">
        <f t="shared" si="201"/>
        <v>0</v>
      </c>
      <c r="AH96">
        <f t="shared" si="201"/>
        <v>0</v>
      </c>
      <c r="AI96">
        <f t="shared" si="201"/>
        <v>0</v>
      </c>
      <c r="AJ96">
        <f t="shared" si="201"/>
        <v>0</v>
      </c>
      <c r="AK96">
        <f t="shared" si="201"/>
        <v>0</v>
      </c>
      <c r="AL96">
        <f t="shared" si="201"/>
        <v>0</v>
      </c>
      <c r="AM96">
        <f t="shared" si="201"/>
        <v>0</v>
      </c>
      <c r="AN96">
        <f t="shared" si="201"/>
        <v>0</v>
      </c>
      <c r="AO96">
        <f t="shared" si="201"/>
        <v>0</v>
      </c>
      <c r="AP96">
        <f t="shared" si="201"/>
        <v>0</v>
      </c>
      <c r="AQ96">
        <f t="shared" si="201"/>
        <v>0</v>
      </c>
      <c r="AR96">
        <f t="shared" si="201"/>
        <v>0</v>
      </c>
      <c r="AS96">
        <f t="shared" si="201"/>
        <v>0</v>
      </c>
      <c r="AT96">
        <f t="shared" si="201"/>
        <v>0</v>
      </c>
      <c r="AU96">
        <f t="shared" si="201"/>
        <v>0</v>
      </c>
      <c r="AV96">
        <f t="shared" si="201"/>
        <v>0</v>
      </c>
      <c r="AW96">
        <f t="shared" si="201"/>
        <v>0</v>
      </c>
      <c r="AX96">
        <f t="shared" si="201"/>
        <v>0</v>
      </c>
      <c r="AY96">
        <f t="shared" si="201"/>
        <v>0</v>
      </c>
      <c r="AZ96">
        <f t="shared" si="201"/>
        <v>0</v>
      </c>
      <c r="BA96">
        <f t="shared" si="201"/>
        <v>0</v>
      </c>
      <c r="BB96">
        <f t="shared" si="201"/>
        <v>0</v>
      </c>
      <c r="BC96">
        <f t="shared" si="201"/>
        <v>0</v>
      </c>
      <c r="BD96">
        <f t="shared" si="201"/>
        <v>0</v>
      </c>
      <c r="BE96">
        <f t="shared" si="201"/>
        <v>0</v>
      </c>
      <c r="BF96">
        <f t="shared" si="201"/>
        <v>0</v>
      </c>
      <c r="BG96">
        <f t="shared" si="201"/>
        <v>0</v>
      </c>
      <c r="BH96">
        <f t="shared" si="201"/>
        <v>0</v>
      </c>
      <c r="BI96">
        <f t="shared" si="201"/>
        <v>0</v>
      </c>
      <c r="BJ96">
        <f t="shared" si="201"/>
        <v>0</v>
      </c>
      <c r="BK96">
        <f t="shared" si="201"/>
        <v>0</v>
      </c>
      <c r="BL96">
        <f t="shared" si="201"/>
        <v>0</v>
      </c>
      <c r="BM96">
        <f t="shared" si="201"/>
        <v>0</v>
      </c>
      <c r="BN96">
        <f t="shared" si="201"/>
        <v>0</v>
      </c>
      <c r="BO96">
        <f t="shared" si="201"/>
        <v>0</v>
      </c>
      <c r="BP96">
        <f t="shared" si="201"/>
        <v>0</v>
      </c>
      <c r="BQ96">
        <f t="shared" si="201"/>
        <v>0</v>
      </c>
      <c r="BR96">
        <f t="shared" si="201"/>
        <v>0</v>
      </c>
      <c r="BS96">
        <f t="shared" si="201"/>
        <v>0</v>
      </c>
      <c r="BT96">
        <f t="shared" si="201"/>
        <v>0</v>
      </c>
      <c r="BU96">
        <f t="shared" si="201"/>
        <v>0</v>
      </c>
      <c r="BV96">
        <f t="shared" si="201"/>
        <v>0</v>
      </c>
      <c r="BW96">
        <f t="shared" si="201"/>
        <v>0</v>
      </c>
      <c r="BX96">
        <f t="shared" si="201"/>
        <v>0</v>
      </c>
      <c r="BY96">
        <f t="shared" si="201"/>
        <v>0</v>
      </c>
      <c r="BZ96">
        <f t="shared" si="201"/>
        <v>0</v>
      </c>
      <c r="CA96">
        <f t="shared" si="201"/>
        <v>0</v>
      </c>
      <c r="CB96">
        <f t="shared" si="201"/>
        <v>0</v>
      </c>
      <c r="CC96">
        <f t="shared" si="201"/>
        <v>0</v>
      </c>
      <c r="CD96">
        <f t="shared" si="201"/>
        <v>0</v>
      </c>
      <c r="CE96">
        <f t="shared" si="201"/>
        <v>0</v>
      </c>
      <c r="CF96">
        <f t="shared" si="201"/>
        <v>0</v>
      </c>
      <c r="CG96">
        <f t="shared" si="201"/>
        <v>0</v>
      </c>
      <c r="CH96">
        <f t="shared" si="201"/>
        <v>0</v>
      </c>
      <c r="CI96">
        <f t="shared" si="201"/>
        <v>0</v>
      </c>
      <c r="CJ96">
        <f t="shared" si="201"/>
        <v>0</v>
      </c>
      <c r="CK96">
        <f t="shared" si="201"/>
        <v>0</v>
      </c>
      <c r="CL96">
        <f t="shared" si="201"/>
        <v>0</v>
      </c>
      <c r="CM96">
        <f t="shared" si="201"/>
        <v>0</v>
      </c>
      <c r="CN96">
        <f t="shared" si="201"/>
        <v>0</v>
      </c>
      <c r="CO96">
        <f t="shared" ref="CO96:DN96" si="202">CN97/CN$3</f>
        <v>0</v>
      </c>
      <c r="CP96">
        <f t="shared" si="202"/>
        <v>0</v>
      </c>
      <c r="CQ96">
        <f t="shared" si="202"/>
        <v>0</v>
      </c>
      <c r="CR96">
        <f t="shared" si="202"/>
        <v>0</v>
      </c>
      <c r="CS96">
        <f t="shared" si="202"/>
        <v>0</v>
      </c>
      <c r="CT96">
        <f t="shared" si="202"/>
        <v>0</v>
      </c>
      <c r="CU96">
        <f t="shared" si="202"/>
        <v>0</v>
      </c>
      <c r="CV96">
        <f t="shared" si="202"/>
        <v>0</v>
      </c>
      <c r="CW96">
        <f t="shared" si="202"/>
        <v>0</v>
      </c>
      <c r="CX96">
        <f t="shared" si="202"/>
        <v>0</v>
      </c>
      <c r="CY96">
        <f t="shared" si="202"/>
        <v>0</v>
      </c>
      <c r="CZ96">
        <f t="shared" si="202"/>
        <v>0</v>
      </c>
      <c r="DA96">
        <f t="shared" si="202"/>
        <v>0</v>
      </c>
      <c r="DB96">
        <f t="shared" si="202"/>
        <v>0</v>
      </c>
      <c r="DC96">
        <f t="shared" si="202"/>
        <v>0</v>
      </c>
      <c r="DD96">
        <f t="shared" si="202"/>
        <v>0</v>
      </c>
      <c r="DE96">
        <f t="shared" si="202"/>
        <v>0</v>
      </c>
      <c r="DF96">
        <f t="shared" si="202"/>
        <v>0</v>
      </c>
      <c r="DG96">
        <f t="shared" si="202"/>
        <v>0</v>
      </c>
      <c r="DH96">
        <f t="shared" si="202"/>
        <v>0</v>
      </c>
      <c r="DI96">
        <f t="shared" si="202"/>
        <v>0</v>
      </c>
      <c r="DJ96">
        <f t="shared" si="202"/>
        <v>0</v>
      </c>
      <c r="DK96">
        <f t="shared" si="202"/>
        <v>0</v>
      </c>
      <c r="DL96">
        <f t="shared" si="202"/>
        <v>0</v>
      </c>
      <c r="DM96">
        <f t="shared" si="202"/>
        <v>0</v>
      </c>
      <c r="DN96">
        <f t="shared" si="202"/>
        <v>0</v>
      </c>
    </row>
    <row r="97" spans="26:118" x14ac:dyDescent="0.2">
      <c r="Z97">
        <f t="shared" si="150"/>
        <v>0.73187000000000002</v>
      </c>
      <c r="AA97">
        <f t="shared" si="151"/>
        <v>0.26812999999999998</v>
      </c>
      <c r="AB97" s="34">
        <f t="shared" si="154"/>
        <v>3.0233819865709192E-7</v>
      </c>
      <c r="AC97">
        <f t="shared" ref="AC97:CN97" si="203">AB98/AB$3</f>
        <v>0</v>
      </c>
      <c r="AD97">
        <f t="shared" si="203"/>
        <v>0</v>
      </c>
      <c r="AE97">
        <f t="shared" si="203"/>
        <v>0</v>
      </c>
      <c r="AF97">
        <f t="shared" si="203"/>
        <v>0</v>
      </c>
      <c r="AG97">
        <f t="shared" si="203"/>
        <v>0</v>
      </c>
      <c r="AH97">
        <f t="shared" si="203"/>
        <v>0</v>
      </c>
      <c r="AI97">
        <f t="shared" si="203"/>
        <v>0</v>
      </c>
      <c r="AJ97">
        <f t="shared" si="203"/>
        <v>0</v>
      </c>
      <c r="AK97">
        <f t="shared" si="203"/>
        <v>0</v>
      </c>
      <c r="AL97">
        <f t="shared" si="203"/>
        <v>0</v>
      </c>
      <c r="AM97">
        <f t="shared" si="203"/>
        <v>0</v>
      </c>
      <c r="AN97">
        <f t="shared" si="203"/>
        <v>0</v>
      </c>
      <c r="AO97">
        <f t="shared" si="203"/>
        <v>0</v>
      </c>
      <c r="AP97">
        <f t="shared" si="203"/>
        <v>0</v>
      </c>
      <c r="AQ97">
        <f t="shared" si="203"/>
        <v>0</v>
      </c>
      <c r="AR97">
        <f t="shared" si="203"/>
        <v>0</v>
      </c>
      <c r="AS97">
        <f t="shared" si="203"/>
        <v>0</v>
      </c>
      <c r="AT97">
        <f t="shared" si="203"/>
        <v>0</v>
      </c>
      <c r="AU97">
        <f t="shared" si="203"/>
        <v>0</v>
      </c>
      <c r="AV97">
        <f t="shared" si="203"/>
        <v>0</v>
      </c>
      <c r="AW97">
        <f t="shared" si="203"/>
        <v>0</v>
      </c>
      <c r="AX97">
        <f t="shared" si="203"/>
        <v>0</v>
      </c>
      <c r="AY97">
        <f t="shared" si="203"/>
        <v>0</v>
      </c>
      <c r="AZ97">
        <f t="shared" si="203"/>
        <v>0</v>
      </c>
      <c r="BA97">
        <f t="shared" si="203"/>
        <v>0</v>
      </c>
      <c r="BB97">
        <f t="shared" si="203"/>
        <v>0</v>
      </c>
      <c r="BC97">
        <f t="shared" si="203"/>
        <v>0</v>
      </c>
      <c r="BD97">
        <f t="shared" si="203"/>
        <v>0</v>
      </c>
      <c r="BE97">
        <f t="shared" si="203"/>
        <v>0</v>
      </c>
      <c r="BF97">
        <f t="shared" si="203"/>
        <v>0</v>
      </c>
      <c r="BG97">
        <f t="shared" si="203"/>
        <v>0</v>
      </c>
      <c r="BH97">
        <f t="shared" si="203"/>
        <v>0</v>
      </c>
      <c r="BI97">
        <f t="shared" si="203"/>
        <v>0</v>
      </c>
      <c r="BJ97">
        <f t="shared" si="203"/>
        <v>0</v>
      </c>
      <c r="BK97">
        <f t="shared" si="203"/>
        <v>0</v>
      </c>
      <c r="BL97">
        <f t="shared" si="203"/>
        <v>0</v>
      </c>
      <c r="BM97">
        <f t="shared" si="203"/>
        <v>0</v>
      </c>
      <c r="BN97">
        <f t="shared" si="203"/>
        <v>0</v>
      </c>
      <c r="BO97">
        <f t="shared" si="203"/>
        <v>0</v>
      </c>
      <c r="BP97">
        <f t="shared" si="203"/>
        <v>0</v>
      </c>
      <c r="BQ97">
        <f t="shared" si="203"/>
        <v>0</v>
      </c>
      <c r="BR97">
        <f t="shared" si="203"/>
        <v>0</v>
      </c>
      <c r="BS97">
        <f t="shared" si="203"/>
        <v>0</v>
      </c>
      <c r="BT97">
        <f t="shared" si="203"/>
        <v>0</v>
      </c>
      <c r="BU97">
        <f t="shared" si="203"/>
        <v>0</v>
      </c>
      <c r="BV97">
        <f t="shared" si="203"/>
        <v>0</v>
      </c>
      <c r="BW97">
        <f t="shared" si="203"/>
        <v>0</v>
      </c>
      <c r="BX97">
        <f t="shared" si="203"/>
        <v>0</v>
      </c>
      <c r="BY97">
        <f t="shared" si="203"/>
        <v>0</v>
      </c>
      <c r="BZ97">
        <f t="shared" si="203"/>
        <v>0</v>
      </c>
      <c r="CA97">
        <f t="shared" si="203"/>
        <v>0</v>
      </c>
      <c r="CB97">
        <f t="shared" si="203"/>
        <v>0</v>
      </c>
      <c r="CC97">
        <f t="shared" si="203"/>
        <v>0</v>
      </c>
      <c r="CD97">
        <f t="shared" si="203"/>
        <v>0</v>
      </c>
      <c r="CE97">
        <f t="shared" si="203"/>
        <v>0</v>
      </c>
      <c r="CF97">
        <f t="shared" si="203"/>
        <v>0</v>
      </c>
      <c r="CG97">
        <f t="shared" si="203"/>
        <v>0</v>
      </c>
      <c r="CH97">
        <f t="shared" si="203"/>
        <v>0</v>
      </c>
      <c r="CI97">
        <f t="shared" si="203"/>
        <v>0</v>
      </c>
      <c r="CJ97">
        <f t="shared" si="203"/>
        <v>0</v>
      </c>
      <c r="CK97">
        <f t="shared" si="203"/>
        <v>0</v>
      </c>
      <c r="CL97">
        <f t="shared" si="203"/>
        <v>0</v>
      </c>
      <c r="CM97">
        <f t="shared" si="203"/>
        <v>0</v>
      </c>
      <c r="CN97">
        <f t="shared" si="203"/>
        <v>0</v>
      </c>
      <c r="CO97">
        <f t="shared" ref="CO97:DN97" si="204">CN98/CN$3</f>
        <v>0</v>
      </c>
      <c r="CP97">
        <f t="shared" si="204"/>
        <v>0</v>
      </c>
      <c r="CQ97">
        <f t="shared" si="204"/>
        <v>0</v>
      </c>
      <c r="CR97">
        <f t="shared" si="204"/>
        <v>0</v>
      </c>
      <c r="CS97">
        <f t="shared" si="204"/>
        <v>0</v>
      </c>
      <c r="CT97">
        <f t="shared" si="204"/>
        <v>0</v>
      </c>
      <c r="CU97">
        <f t="shared" si="204"/>
        <v>0</v>
      </c>
      <c r="CV97">
        <f t="shared" si="204"/>
        <v>0</v>
      </c>
      <c r="CW97">
        <f t="shared" si="204"/>
        <v>0</v>
      </c>
      <c r="CX97">
        <f t="shared" si="204"/>
        <v>0</v>
      </c>
      <c r="CY97">
        <f t="shared" si="204"/>
        <v>0</v>
      </c>
      <c r="CZ97">
        <f t="shared" si="204"/>
        <v>0</v>
      </c>
      <c r="DA97">
        <f t="shared" si="204"/>
        <v>0</v>
      </c>
      <c r="DB97">
        <f t="shared" si="204"/>
        <v>0</v>
      </c>
      <c r="DC97">
        <f t="shared" si="204"/>
        <v>0</v>
      </c>
      <c r="DD97">
        <f t="shared" si="204"/>
        <v>0</v>
      </c>
      <c r="DE97">
        <f t="shared" si="204"/>
        <v>0</v>
      </c>
      <c r="DF97">
        <f t="shared" si="204"/>
        <v>0</v>
      </c>
      <c r="DG97">
        <f t="shared" si="204"/>
        <v>0</v>
      </c>
      <c r="DH97">
        <f t="shared" si="204"/>
        <v>0</v>
      </c>
      <c r="DI97">
        <f t="shared" si="204"/>
        <v>0</v>
      </c>
      <c r="DJ97">
        <f t="shared" si="204"/>
        <v>0</v>
      </c>
      <c r="DK97">
        <f t="shared" si="204"/>
        <v>0</v>
      </c>
      <c r="DL97">
        <f t="shared" si="204"/>
        <v>0</v>
      </c>
      <c r="DM97">
        <f t="shared" si="204"/>
        <v>0</v>
      </c>
      <c r="DN97">
        <f t="shared" si="204"/>
        <v>0</v>
      </c>
    </row>
  </sheetData>
  <pageMargins left="0.75" right="0.75" top="1" bottom="1" header="0.5" footer="0.5"/>
  <pageSetup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T115"/>
  <sheetViews>
    <sheetView workbookViewId="0">
      <selection activeCell="M5" sqref="M5"/>
    </sheetView>
  </sheetViews>
  <sheetFormatPr baseColWidth="10" defaultRowHeight="16" x14ac:dyDescent="0.2"/>
  <cols>
    <col min="9" max="9" width="16.33203125" bestFit="1" customWidth="1"/>
    <col min="10" max="10" width="21.6640625" bestFit="1" customWidth="1"/>
    <col min="14" max="14" width="15.5" customWidth="1"/>
    <col min="15" max="15" width="15" customWidth="1"/>
    <col min="16" max="16" width="6.5" customWidth="1"/>
    <col min="19" max="19" width="3.1640625" customWidth="1"/>
    <col min="20" max="20" width="11.83203125" bestFit="1" customWidth="1"/>
  </cols>
  <sheetData>
    <row r="1" spans="1:20" x14ac:dyDescent="0.2">
      <c r="A1" s="2"/>
      <c r="M1" t="s">
        <v>74</v>
      </c>
    </row>
    <row r="2" spans="1:20" x14ac:dyDescent="0.2">
      <c r="B2" t="s">
        <v>71</v>
      </c>
      <c r="C2">
        <v>0.05</v>
      </c>
      <c r="E2" t="s">
        <v>13</v>
      </c>
      <c r="M2" t="s">
        <v>84</v>
      </c>
      <c r="N2" t="s">
        <v>85</v>
      </c>
      <c r="O2" t="s">
        <v>86</v>
      </c>
      <c r="T2">
        <v>6.2</v>
      </c>
    </row>
    <row r="3" spans="1:20" x14ac:dyDescent="0.2">
      <c r="G3" t="s">
        <v>7</v>
      </c>
      <c r="I3" t="s">
        <v>87</v>
      </c>
      <c r="J3" t="s">
        <v>113</v>
      </c>
      <c r="M3" t="s">
        <v>66</v>
      </c>
      <c r="N3" t="s">
        <v>67</v>
      </c>
      <c r="O3" t="s">
        <v>36</v>
      </c>
      <c r="Q3" t="s">
        <v>93</v>
      </c>
      <c r="R3" t="s">
        <v>94</v>
      </c>
      <c r="T3" t="s">
        <v>90</v>
      </c>
    </row>
    <row r="4" spans="1:20" x14ac:dyDescent="0.2">
      <c r="A4" t="s">
        <v>0</v>
      </c>
      <c r="B4" t="s">
        <v>70</v>
      </c>
      <c r="C4" t="s">
        <v>69</v>
      </c>
      <c r="D4" t="s">
        <v>89</v>
      </c>
      <c r="E4" t="s">
        <v>65</v>
      </c>
      <c r="F4" t="s">
        <v>6</v>
      </c>
      <c r="G4">
        <v>1</v>
      </c>
      <c r="I4" t="s">
        <v>111</v>
      </c>
      <c r="J4" t="s">
        <v>112</v>
      </c>
      <c r="L4" t="s">
        <v>110</v>
      </c>
    </row>
    <row r="5" spans="1:20" x14ac:dyDescent="0.2">
      <c r="A5">
        <v>20</v>
      </c>
      <c r="B5">
        <v>1</v>
      </c>
      <c r="C5">
        <f>(1/(1+$C$2))^B5</f>
        <v>0.95238095238095233</v>
      </c>
      <c r="D5">
        <f>C5^2</f>
        <v>0.90702947845804982</v>
      </c>
      <c r="E5">
        <v>1.0300000000000001E-3</v>
      </c>
      <c r="F5">
        <f t="shared" ref="F5:F68" si="0">1-E5</f>
        <v>0.99897000000000002</v>
      </c>
      <c r="G5">
        <f>F5</f>
        <v>0.99897000000000002</v>
      </c>
      <c r="I5" s="66">
        <v>94.160310415697325</v>
      </c>
      <c r="J5" s="69">
        <f>'Part 7 - Pure Endowment'!I5</f>
        <v>364.95129320898053</v>
      </c>
      <c r="L5">
        <v>20</v>
      </c>
      <c r="M5" s="37">
        <f>I5-I25*J5/1000</f>
        <v>18.273841194111128</v>
      </c>
      <c r="N5" s="19">
        <f t="shared" ref="N5:N36" si="1">-PV(0.05,20,1)/(110-A5)*1000</f>
        <v>138.46900380599985</v>
      </c>
      <c r="O5" s="20">
        <f>(1-EXP(-0.04))/((1-EXP(-0.04))+0.05)*1000*(1-((1/1.05)*EXP(-0.04))^20)</f>
        <v>365.09529295872125</v>
      </c>
      <c r="Q5">
        <f>SUMPRODUCT(C5:C24,G4:G23,E5:E24)</f>
        <v>1.8273841194111188E-2</v>
      </c>
      <c r="R5">
        <f>SUMPRODUCT(D5:D24,G4:G23,E5:E24)</f>
        <v>1.1426583422168403E-2</v>
      </c>
      <c r="T5" s="65">
        <f>1000^2*(R5-Q5^2)</f>
        <v>11092.650150180807</v>
      </c>
    </row>
    <row r="6" spans="1:20" x14ac:dyDescent="0.2">
      <c r="A6">
        <v>21</v>
      </c>
      <c r="B6">
        <v>2</v>
      </c>
      <c r="C6">
        <f t="shared" ref="C6:C69" si="2">(1/(1+$C$2))^B6</f>
        <v>0.90702947845804982</v>
      </c>
      <c r="D6">
        <f t="shared" ref="D6:D69" si="3">C6^2</f>
        <v>0.82270247479188185</v>
      </c>
      <c r="E6">
        <v>1.06E-3</v>
      </c>
      <c r="F6">
        <f t="shared" si="0"/>
        <v>0.99894000000000005</v>
      </c>
      <c r="G6" s="34">
        <f>F6*G5</f>
        <v>0.99791109180000004</v>
      </c>
      <c r="H6" s="34"/>
      <c r="I6" s="67">
        <v>97.939203315897615</v>
      </c>
      <c r="J6" s="70">
        <f>'Part 7 - Pure Endowment'!I6</f>
        <v>364.3119699429007</v>
      </c>
      <c r="L6">
        <v>21</v>
      </c>
      <c r="M6" s="38">
        <f t="shared" ref="M6:M69" si="4">I6-I26*J6/1000</f>
        <v>19.191865470372221</v>
      </c>
      <c r="N6" s="22">
        <f t="shared" si="1"/>
        <v>140.02483530943803</v>
      </c>
      <c r="O6" s="23">
        <f t="shared" ref="O6:O69" si="5">(1-EXP(-0.04))/((1-EXP(-0.04))+0.05)*1000*(1-((1/1.05)*EXP(-0.04))^20)</f>
        <v>365.09529295872125</v>
      </c>
    </row>
    <row r="7" spans="1:20" x14ac:dyDescent="0.2">
      <c r="A7">
        <v>22</v>
      </c>
      <c r="B7">
        <v>3</v>
      </c>
      <c r="C7">
        <f t="shared" si="2"/>
        <v>0.86383759853147601</v>
      </c>
      <c r="D7">
        <f t="shared" si="3"/>
        <v>0.7462153966366275</v>
      </c>
      <c r="E7">
        <v>1.1000000000000001E-3</v>
      </c>
      <c r="F7">
        <f t="shared" si="0"/>
        <v>0.99890000000000001</v>
      </c>
      <c r="G7" s="34">
        <f t="shared" ref="G7:G70" si="6">F7*G6</f>
        <v>0.99681338959901999</v>
      </c>
      <c r="H7" s="34"/>
      <c r="I7" s="67">
        <v>101.88416069202599</v>
      </c>
      <c r="J7" s="70">
        <f>'Part 7 - Pure Endowment'!I7</f>
        <v>363.61174872612048</v>
      </c>
      <c r="L7">
        <v>22</v>
      </c>
      <c r="M7" s="38">
        <f t="shared" si="4"/>
        <v>20.198518844295577</v>
      </c>
      <c r="N7" s="22">
        <f t="shared" si="1"/>
        <v>141.61602661977258</v>
      </c>
      <c r="O7" s="23">
        <f t="shared" si="5"/>
        <v>365.09529295872125</v>
      </c>
    </row>
    <row r="8" spans="1:20" x14ac:dyDescent="0.2">
      <c r="A8">
        <v>23</v>
      </c>
      <c r="B8">
        <v>4</v>
      </c>
      <c r="C8">
        <f t="shared" si="2"/>
        <v>0.82270247479188185</v>
      </c>
      <c r="D8">
        <f t="shared" si="3"/>
        <v>0.676839362028687</v>
      </c>
      <c r="E8">
        <v>1.1299999999999999E-3</v>
      </c>
      <c r="F8">
        <f t="shared" si="0"/>
        <v>0.99887000000000004</v>
      </c>
      <c r="G8" s="34">
        <f t="shared" si="6"/>
        <v>0.99568699046877318</v>
      </c>
      <c r="H8" s="34"/>
      <c r="I8" s="67">
        <v>105.99496318613205</v>
      </c>
      <c r="J8" s="70">
        <f>'Part 7 - Pure Endowment'!I8</f>
        <v>362.84732318570116</v>
      </c>
      <c r="L8">
        <v>23</v>
      </c>
      <c r="M8" s="38">
        <f t="shared" si="4"/>
        <v>21.295427352521742</v>
      </c>
      <c r="N8" s="22">
        <f t="shared" si="1"/>
        <v>143.24379704068949</v>
      </c>
      <c r="O8" s="23">
        <f t="shared" si="5"/>
        <v>365.09529295872125</v>
      </c>
    </row>
    <row r="9" spans="1:20" x14ac:dyDescent="0.2">
      <c r="A9">
        <v>24</v>
      </c>
      <c r="B9">
        <v>5</v>
      </c>
      <c r="C9">
        <f t="shared" si="2"/>
        <v>0.78352616646845885</v>
      </c>
      <c r="D9">
        <f t="shared" si="3"/>
        <v>0.6139132535407591</v>
      </c>
      <c r="E9">
        <v>1.1799999999999998E-3</v>
      </c>
      <c r="F9">
        <f t="shared" si="0"/>
        <v>0.99882000000000004</v>
      </c>
      <c r="G9" s="34">
        <f t="shared" si="6"/>
        <v>0.9945120798200201</v>
      </c>
      <c r="H9" s="34"/>
      <c r="I9" s="67">
        <v>110.28933829771501</v>
      </c>
      <c r="J9" s="70">
        <f>'Part 7 - Pure Endowment'!I9</f>
        <v>362.00819765729517</v>
      </c>
      <c r="L9">
        <v>24</v>
      </c>
      <c r="M9" s="38">
        <f t="shared" si="4"/>
        <v>22.503822831706387</v>
      </c>
      <c r="N9" s="22">
        <f t="shared" si="1"/>
        <v>144.90942258767424</v>
      </c>
      <c r="O9" s="23">
        <f t="shared" si="5"/>
        <v>365.09529295872125</v>
      </c>
    </row>
    <row r="10" spans="1:20" x14ac:dyDescent="0.2">
      <c r="A10">
        <v>25</v>
      </c>
      <c r="B10">
        <v>6</v>
      </c>
      <c r="C10">
        <f t="shared" si="2"/>
        <v>0.7462153966366275</v>
      </c>
      <c r="D10">
        <f t="shared" si="3"/>
        <v>0.55683741817755927</v>
      </c>
      <c r="E10">
        <v>1.2199999999999999E-3</v>
      </c>
      <c r="F10">
        <f t="shared" si="0"/>
        <v>0.99878</v>
      </c>
      <c r="G10" s="34">
        <f t="shared" si="6"/>
        <v>0.99329877508263964</v>
      </c>
      <c r="H10" s="34"/>
      <c r="I10" s="67">
        <v>114.75922109349122</v>
      </c>
      <c r="J10" s="70">
        <f>'Part 7 - Pure Endowment'!I10</f>
        <v>361.09123490116991</v>
      </c>
      <c r="L10">
        <v>25</v>
      </c>
      <c r="M10" s="38">
        <f t="shared" si="4"/>
        <v>23.820172189784373</v>
      </c>
      <c r="N10" s="22">
        <f t="shared" si="1"/>
        <v>146.61423932399984</v>
      </c>
      <c r="O10" s="23">
        <f t="shared" si="5"/>
        <v>365.09529295872125</v>
      </c>
    </row>
    <row r="11" spans="1:20" x14ac:dyDescent="0.2">
      <c r="A11">
        <v>26</v>
      </c>
      <c r="B11">
        <v>7</v>
      </c>
      <c r="C11">
        <f t="shared" si="2"/>
        <v>0.71068133013012136</v>
      </c>
      <c r="D11">
        <f t="shared" si="3"/>
        <v>0.50506795299551854</v>
      </c>
      <c r="E11">
        <v>1.2700000000000001E-3</v>
      </c>
      <c r="F11">
        <f t="shared" si="0"/>
        <v>0.99873000000000001</v>
      </c>
      <c r="G11" s="34">
        <f t="shared" si="6"/>
        <v>0.99203728563828475</v>
      </c>
      <c r="H11" s="34"/>
      <c r="I11" s="67">
        <v>119.42287805939827</v>
      </c>
      <c r="J11" s="70">
        <f>'Part 7 - Pure Endowment'!I11</f>
        <v>360.08617509518149</v>
      </c>
      <c r="L11">
        <v>26</v>
      </c>
      <c r="M11" s="38">
        <f t="shared" si="4"/>
        <v>25.266370711145854</v>
      </c>
      <c r="N11" s="22">
        <f t="shared" si="1"/>
        <v>148.35964693499983</v>
      </c>
      <c r="O11" s="23">
        <f t="shared" si="5"/>
        <v>365.09529295872125</v>
      </c>
    </row>
    <row r="12" spans="1:20" x14ac:dyDescent="0.2">
      <c r="A12">
        <v>27</v>
      </c>
      <c r="B12">
        <v>8</v>
      </c>
      <c r="C12">
        <f t="shared" si="2"/>
        <v>0.676839362028687</v>
      </c>
      <c r="D12">
        <f t="shared" si="3"/>
        <v>0.45811152199140004</v>
      </c>
      <c r="E12">
        <v>1.33E-3</v>
      </c>
      <c r="F12">
        <f t="shared" si="0"/>
        <v>0.99866999999999995</v>
      </c>
      <c r="G12" s="34">
        <f t="shared" si="6"/>
        <v>0.99071787604838579</v>
      </c>
      <c r="H12" s="34"/>
      <c r="I12" s="67">
        <v>124.28185992447216</v>
      </c>
      <c r="J12" s="70">
        <f>'Part 7 - Pure Endowment'!I12</f>
        <v>358.99012113436186</v>
      </c>
      <c r="L12">
        <v>27</v>
      </c>
      <c r="M12" s="38">
        <f t="shared" si="4"/>
        <v>26.845754769921029</v>
      </c>
      <c r="N12" s="22">
        <f t="shared" si="1"/>
        <v>150.14711256072272</v>
      </c>
      <c r="O12" s="23">
        <f t="shared" si="5"/>
        <v>365.09529295872125</v>
      </c>
    </row>
    <row r="13" spans="1:20" x14ac:dyDescent="0.2">
      <c r="A13">
        <v>28</v>
      </c>
      <c r="B13">
        <v>9</v>
      </c>
      <c r="C13">
        <f t="shared" si="2"/>
        <v>0.64460891621779715</v>
      </c>
      <c r="D13">
        <f t="shared" si="3"/>
        <v>0.41552065486748302</v>
      </c>
      <c r="E13">
        <v>1.39E-3</v>
      </c>
      <c r="F13">
        <f t="shared" si="0"/>
        <v>0.99861</v>
      </c>
      <c r="G13" s="34">
        <f t="shared" si="6"/>
        <v>0.98934077820067856</v>
      </c>
      <c r="H13" s="34"/>
      <c r="I13" s="67">
        <v>129.33797242401971</v>
      </c>
      <c r="J13" s="70">
        <f>'Part 7 - Pure Endowment'!I13</f>
        <v>357.79309198221205</v>
      </c>
      <c r="L13">
        <v>28</v>
      </c>
      <c r="M13" s="38">
        <f t="shared" si="4"/>
        <v>28.56893315399806</v>
      </c>
      <c r="N13" s="22">
        <f t="shared" si="1"/>
        <v>151.9781749090242</v>
      </c>
      <c r="O13" s="23">
        <f t="shared" si="5"/>
        <v>365.09529295872125</v>
      </c>
    </row>
    <row r="14" spans="1:20" x14ac:dyDescent="0.2">
      <c r="A14">
        <v>29</v>
      </c>
      <c r="B14">
        <v>10</v>
      </c>
      <c r="C14">
        <f t="shared" si="2"/>
        <v>0.6139132535407591</v>
      </c>
      <c r="D14">
        <f t="shared" si="3"/>
        <v>0.37688948287300034</v>
      </c>
      <c r="E14">
        <v>1.4599999999999999E-3</v>
      </c>
      <c r="F14">
        <f t="shared" si="0"/>
        <v>0.99853999999999998</v>
      </c>
      <c r="G14" s="34">
        <f t="shared" si="6"/>
        <v>0.9878963406645056</v>
      </c>
      <c r="H14" s="34"/>
      <c r="I14" s="67">
        <v>134.60196778043556</v>
      </c>
      <c r="J14" s="70">
        <f>'Part 7 - Pure Endowment'!I14</f>
        <v>356.48532940649659</v>
      </c>
      <c r="L14">
        <v>29</v>
      </c>
      <c r="M14" s="38">
        <f t="shared" si="4"/>
        <v>30.452986646727368</v>
      </c>
      <c r="N14" s="22">
        <f t="shared" si="1"/>
        <v>153.85444867333317</v>
      </c>
      <c r="O14" s="23">
        <f t="shared" si="5"/>
        <v>365.09529295872125</v>
      </c>
    </row>
    <row r="15" spans="1:20" x14ac:dyDescent="0.2">
      <c r="A15">
        <v>30</v>
      </c>
      <c r="B15">
        <v>11</v>
      </c>
      <c r="C15">
        <f t="shared" si="2"/>
        <v>0.58467928908643729</v>
      </c>
      <c r="D15">
        <f t="shared" si="3"/>
        <v>0.34184987108662174</v>
      </c>
      <c r="E15">
        <v>1.5300000000000001E-3</v>
      </c>
      <c r="F15">
        <f t="shared" si="0"/>
        <v>0.99846999999999997</v>
      </c>
      <c r="G15" s="34">
        <f t="shared" si="6"/>
        <v>0.98638485926328889</v>
      </c>
      <c r="H15" s="34"/>
      <c r="I15" s="67">
        <v>140.07657797329836</v>
      </c>
      <c r="J15" s="70">
        <f>'Part 7 - Pure Endowment'!I15</f>
        <v>355.05730317056634</v>
      </c>
      <c r="L15">
        <v>30</v>
      </c>
      <c r="M15" s="38">
        <f t="shared" si="4"/>
        <v>32.509509761875535</v>
      </c>
      <c r="N15" s="22">
        <f t="shared" si="1"/>
        <v>155.77762928174982</v>
      </c>
      <c r="O15" s="23">
        <f t="shared" si="5"/>
        <v>365.09529295872125</v>
      </c>
    </row>
    <row r="16" spans="1:20" x14ac:dyDescent="0.2">
      <c r="A16">
        <v>31</v>
      </c>
      <c r="B16">
        <v>12</v>
      </c>
      <c r="C16">
        <f t="shared" si="2"/>
        <v>0.55683741817755927</v>
      </c>
      <c r="D16">
        <f t="shared" si="3"/>
        <v>0.31006791028265002</v>
      </c>
      <c r="E16">
        <v>1.6100000000000001E-3</v>
      </c>
      <c r="F16">
        <f t="shared" si="0"/>
        <v>0.99839</v>
      </c>
      <c r="G16" s="34">
        <f t="shared" si="6"/>
        <v>0.984796779639875</v>
      </c>
      <c r="H16" s="34"/>
      <c r="I16" s="67">
        <v>145.77344023552357</v>
      </c>
      <c r="J16" s="70">
        <f>'Part 7 - Pure Endowment'!I16</f>
        <v>353.49621314190364</v>
      </c>
      <c r="L16">
        <v>31</v>
      </c>
      <c r="M16" s="38">
        <f t="shared" si="4"/>
        <v>34.760107449136157</v>
      </c>
      <c r="N16" s="22">
        <f t="shared" si="1"/>
        <v>157.74949800683527</v>
      </c>
      <c r="O16" s="23">
        <f t="shared" si="5"/>
        <v>365.09529295872125</v>
      </c>
    </row>
    <row r="17" spans="1:15" x14ac:dyDescent="0.2">
      <c r="A17">
        <v>32</v>
      </c>
      <c r="B17">
        <v>13</v>
      </c>
      <c r="C17">
        <f t="shared" si="2"/>
        <v>0.53032135064529451</v>
      </c>
      <c r="D17">
        <f t="shared" si="3"/>
        <v>0.28124073495024943</v>
      </c>
      <c r="E17">
        <v>1.6999999999999999E-3</v>
      </c>
      <c r="F17">
        <f t="shared" si="0"/>
        <v>0.99829999999999997</v>
      </c>
      <c r="G17" s="34">
        <f t="shared" si="6"/>
        <v>0.98312262511448723</v>
      </c>
      <c r="H17" s="34"/>
      <c r="I17" s="67">
        <v>151.69634336010964</v>
      </c>
      <c r="J17" s="70">
        <f>'Part 7 - Pure Endowment'!I17</f>
        <v>351.79315443216842</v>
      </c>
      <c r="L17">
        <v>32</v>
      </c>
      <c r="M17" s="38">
        <f t="shared" si="4"/>
        <v>37.217478650591545</v>
      </c>
      <c r="N17" s="22">
        <f t="shared" si="1"/>
        <v>159.77192746846137</v>
      </c>
      <c r="O17" s="23">
        <f t="shared" si="5"/>
        <v>365.09529295872125</v>
      </c>
    </row>
    <row r="18" spans="1:15" x14ac:dyDescent="0.2">
      <c r="A18">
        <v>33</v>
      </c>
      <c r="B18">
        <v>14</v>
      </c>
      <c r="C18">
        <f t="shared" si="2"/>
        <v>0.50506795299551854</v>
      </c>
      <c r="D18">
        <f t="shared" si="3"/>
        <v>0.25509363714308331</v>
      </c>
      <c r="E18">
        <v>1.7900000000000001E-3</v>
      </c>
      <c r="F18">
        <f t="shared" si="0"/>
        <v>0.99821000000000004</v>
      </c>
      <c r="G18" s="34">
        <f t="shared" si="6"/>
        <v>0.98136283561553228</v>
      </c>
      <c r="H18" s="34"/>
      <c r="I18" s="67">
        <v>157.84950468608145</v>
      </c>
      <c r="J18" s="70">
        <f>'Part 7 - Pure Endowment'!I18</f>
        <v>349.93604742640088</v>
      </c>
      <c r="L18">
        <v>33</v>
      </c>
      <c r="M18" s="38">
        <f t="shared" si="4"/>
        <v>39.898177771725329</v>
      </c>
      <c r="N18" s="22">
        <f t="shared" si="1"/>
        <v>161.84688756545438</v>
      </c>
      <c r="O18" s="23">
        <f t="shared" si="5"/>
        <v>365.09529295872125</v>
      </c>
    </row>
    <row r="19" spans="1:15" x14ac:dyDescent="0.2">
      <c r="A19">
        <v>34</v>
      </c>
      <c r="B19">
        <v>15</v>
      </c>
      <c r="C19">
        <f t="shared" si="2"/>
        <v>0.48101709809097004</v>
      </c>
      <c r="D19">
        <f t="shared" si="3"/>
        <v>0.23137744865585788</v>
      </c>
      <c r="E19">
        <v>1.9E-3</v>
      </c>
      <c r="F19">
        <f t="shared" si="0"/>
        <v>0.99809999999999999</v>
      </c>
      <c r="G19" s="34">
        <f t="shared" si="6"/>
        <v>0.97949824622786275</v>
      </c>
      <c r="H19" s="34"/>
      <c r="I19" s="67">
        <v>164.24598022498827</v>
      </c>
      <c r="J19" s="70">
        <f>'Part 7 - Pure Endowment'!I19</f>
        <v>347.90628443604953</v>
      </c>
      <c r="L19">
        <v>34</v>
      </c>
      <c r="M19" s="38">
        <f t="shared" si="4"/>
        <v>42.832271666085902</v>
      </c>
      <c r="N19" s="22">
        <f t="shared" si="1"/>
        <v>163.97645187552615</v>
      </c>
      <c r="O19" s="23">
        <f t="shared" si="5"/>
        <v>365.09529295872125</v>
      </c>
    </row>
    <row r="20" spans="1:15" x14ac:dyDescent="0.2">
      <c r="A20">
        <v>35</v>
      </c>
      <c r="B20">
        <v>16</v>
      </c>
      <c r="C20">
        <f t="shared" si="2"/>
        <v>0.45811152199140004</v>
      </c>
      <c r="D20">
        <f t="shared" si="3"/>
        <v>0.20986616658127699</v>
      </c>
      <c r="E20">
        <v>2.0099999999999996E-3</v>
      </c>
      <c r="F20">
        <f t="shared" si="0"/>
        <v>0.99799000000000004</v>
      </c>
      <c r="G20" s="34">
        <f t="shared" si="6"/>
        <v>0.97752945475294484</v>
      </c>
      <c r="H20" s="34"/>
      <c r="I20" s="67">
        <v>170.88295685426067</v>
      </c>
      <c r="J20" s="70">
        <f>'Part 7 - Pure Endowment'!I20</f>
        <v>345.69635973579432</v>
      </c>
      <c r="L20">
        <v>35</v>
      </c>
      <c r="M20" s="38">
        <f t="shared" si="4"/>
        <v>46.02808639729804</v>
      </c>
      <c r="N20" s="22">
        <f t="shared" si="1"/>
        <v>166.1628045671998</v>
      </c>
      <c r="O20" s="23">
        <f t="shared" si="5"/>
        <v>365.09529295872125</v>
      </c>
    </row>
    <row r="21" spans="1:15" x14ac:dyDescent="0.2">
      <c r="A21">
        <v>36</v>
      </c>
      <c r="B21">
        <v>17</v>
      </c>
      <c r="C21">
        <f t="shared" si="2"/>
        <v>0.43629668761085716</v>
      </c>
      <c r="D21">
        <f t="shared" si="3"/>
        <v>0.19035479962020588</v>
      </c>
      <c r="E21">
        <v>2.14E-3</v>
      </c>
      <c r="F21">
        <f t="shared" si="0"/>
        <v>0.99785999999999997</v>
      </c>
      <c r="G21" s="34">
        <f t="shared" si="6"/>
        <v>0.97543754171977348</v>
      </c>
      <c r="H21" s="34"/>
      <c r="I21" s="67">
        <v>177.77443130389457</v>
      </c>
      <c r="J21" s="70">
        <f>'Part 7 - Pure Endowment'!I21</f>
        <v>343.28893110408092</v>
      </c>
      <c r="L21">
        <v>36</v>
      </c>
      <c r="M21" s="38">
        <f t="shared" si="4"/>
        <v>49.516458181340084</v>
      </c>
      <c r="N21" s="22">
        <f t="shared" si="1"/>
        <v>168.40824787216195</v>
      </c>
      <c r="O21" s="23">
        <f t="shared" si="5"/>
        <v>365.09529295872125</v>
      </c>
    </row>
    <row r="22" spans="1:15" x14ac:dyDescent="0.2">
      <c r="A22">
        <v>37</v>
      </c>
      <c r="B22">
        <v>18</v>
      </c>
      <c r="C22">
        <f t="shared" si="2"/>
        <v>0.41552065486748302</v>
      </c>
      <c r="D22">
        <f t="shared" si="3"/>
        <v>0.17265741462150194</v>
      </c>
      <c r="E22">
        <v>2.2799999999999999E-3</v>
      </c>
      <c r="F22">
        <f t="shared" si="0"/>
        <v>0.99772000000000005</v>
      </c>
      <c r="G22" s="34">
        <f t="shared" si="6"/>
        <v>0.97321354412465244</v>
      </c>
      <c r="H22" s="34"/>
      <c r="I22" s="67">
        <v>184.9188792707287</v>
      </c>
      <c r="J22" s="70">
        <f>'Part 7 - Pure Endowment'!I22</f>
        <v>340.6708997512838</v>
      </c>
      <c r="L22">
        <v>37</v>
      </c>
      <c r="M22" s="38">
        <f t="shared" si="4"/>
        <v>53.313438927977927</v>
      </c>
      <c r="N22" s="22">
        <f t="shared" si="1"/>
        <v>170.71521017178063</v>
      </c>
      <c r="O22" s="23">
        <f t="shared" si="5"/>
        <v>365.09529295872125</v>
      </c>
    </row>
    <row r="23" spans="1:15" x14ac:dyDescent="0.2">
      <c r="A23">
        <v>38</v>
      </c>
      <c r="B23">
        <v>19</v>
      </c>
      <c r="C23">
        <f t="shared" si="2"/>
        <v>0.39573395701665048</v>
      </c>
      <c r="D23">
        <f t="shared" si="3"/>
        <v>0.15660536473605619</v>
      </c>
      <c r="E23">
        <v>2.4300000000000003E-3</v>
      </c>
      <c r="F23">
        <f t="shared" si="0"/>
        <v>0.99756999999999996</v>
      </c>
      <c r="G23" s="34">
        <f t="shared" si="6"/>
        <v>0.97084863521242948</v>
      </c>
      <c r="H23" s="34"/>
      <c r="I23" s="67">
        <v>192.32332040478812</v>
      </c>
      <c r="J23" s="70">
        <f>'Part 7 - Pure Endowment'!I23</f>
        <v>337.82321171864373</v>
      </c>
      <c r="L23">
        <v>38</v>
      </c>
      <c r="M23" s="38">
        <f t="shared" si="4"/>
        <v>57.448017309200537</v>
      </c>
      <c r="N23" s="22">
        <f t="shared" si="1"/>
        <v>173.0862547574998</v>
      </c>
      <c r="O23" s="23">
        <f t="shared" si="5"/>
        <v>365.09529295872125</v>
      </c>
    </row>
    <row r="24" spans="1:15" x14ac:dyDescent="0.2">
      <c r="A24">
        <v>39</v>
      </c>
      <c r="B24">
        <v>20</v>
      </c>
      <c r="C24">
        <f t="shared" si="2"/>
        <v>0.37688948287300045</v>
      </c>
      <c r="D24">
        <f t="shared" si="3"/>
        <v>0.1420456823002777</v>
      </c>
      <c r="E24">
        <v>2.5999999999999999E-3</v>
      </c>
      <c r="F24">
        <f t="shared" si="0"/>
        <v>0.99739999999999995</v>
      </c>
      <c r="G24" s="34">
        <f t="shared" si="6"/>
        <v>0.9683244287608771</v>
      </c>
      <c r="H24" s="34"/>
      <c r="I24" s="67">
        <v>199.99547543032315</v>
      </c>
      <c r="J24" s="70">
        <f>'Part 7 - Pure Endowment'!I24</f>
        <v>334.72459970422312</v>
      </c>
      <c r="L24">
        <v>39</v>
      </c>
      <c r="M24" s="38">
        <f t="shared" si="4"/>
        <v>61.952956651024294</v>
      </c>
      <c r="N24" s="22">
        <f t="shared" si="1"/>
        <v>175.52408933154911</v>
      </c>
      <c r="O24" s="23">
        <f t="shared" si="5"/>
        <v>365.09529295872125</v>
      </c>
    </row>
    <row r="25" spans="1:15" x14ac:dyDescent="0.2">
      <c r="A25">
        <v>40</v>
      </c>
      <c r="B25">
        <v>21</v>
      </c>
      <c r="C25">
        <f t="shared" si="2"/>
        <v>0.35894236464095275</v>
      </c>
      <c r="D25">
        <f t="shared" si="3"/>
        <v>0.12883962113403868</v>
      </c>
      <c r="E25">
        <v>2.7799999999999999E-3</v>
      </c>
      <c r="F25">
        <f t="shared" si="0"/>
        <v>0.99722</v>
      </c>
      <c r="G25" s="34">
        <f t="shared" si="6"/>
        <v>0.96563248684892189</v>
      </c>
      <c r="H25" s="34"/>
      <c r="I25" s="67">
        <v>207.93588249632987</v>
      </c>
      <c r="J25" s="70">
        <f>'Part 7 - Pure Endowment'!I25</f>
        <v>331.36191623817501</v>
      </c>
      <c r="L25">
        <v>40</v>
      </c>
      <c r="M25" s="38">
        <f t="shared" si="4"/>
        <v>66.8486353838409</v>
      </c>
      <c r="N25" s="22">
        <f t="shared" si="1"/>
        <v>178.03157632199981</v>
      </c>
      <c r="O25" s="23">
        <f t="shared" si="5"/>
        <v>365.09529295872125</v>
      </c>
    </row>
    <row r="26" spans="1:15" x14ac:dyDescent="0.2">
      <c r="A26">
        <v>41</v>
      </c>
      <c r="B26">
        <v>22</v>
      </c>
      <c r="C26">
        <f t="shared" si="2"/>
        <v>0.34184987108662168</v>
      </c>
      <c r="D26">
        <f t="shared" si="3"/>
        <v>0.11686133436193986</v>
      </c>
      <c r="E26">
        <v>2.98E-3</v>
      </c>
      <c r="F26">
        <f t="shared" si="0"/>
        <v>0.99702000000000002</v>
      </c>
      <c r="G26" s="34">
        <f t="shared" si="6"/>
        <v>0.96275490203811209</v>
      </c>
      <c r="H26" s="34"/>
      <c r="I26" s="67">
        <v>216.15358358350844</v>
      </c>
      <c r="J26" s="70">
        <f>'Part 7 - Pure Endowment'!I26</f>
        <v>327.71341957716231</v>
      </c>
      <c r="L26">
        <v>41</v>
      </c>
      <c r="M26" s="38">
        <f t="shared" si="4"/>
        <v>72.171243176500866</v>
      </c>
      <c r="N26" s="22">
        <f t="shared" si="1"/>
        <v>180.61174409478241</v>
      </c>
      <c r="O26" s="23">
        <f t="shared" si="5"/>
        <v>365.09529295872125</v>
      </c>
    </row>
    <row r="27" spans="1:15" x14ac:dyDescent="0.2">
      <c r="A27">
        <v>42</v>
      </c>
      <c r="B27">
        <v>23</v>
      </c>
      <c r="C27">
        <f t="shared" si="2"/>
        <v>0.32557130579678251</v>
      </c>
      <c r="D27">
        <f t="shared" si="3"/>
        <v>0.10599667515822207</v>
      </c>
      <c r="E27">
        <v>3.2000000000000002E-3</v>
      </c>
      <c r="F27">
        <f t="shared" si="0"/>
        <v>0.99680000000000002</v>
      </c>
      <c r="G27" s="34">
        <f t="shared" si="6"/>
        <v>0.95967408635159013</v>
      </c>
      <c r="H27" s="34"/>
      <c r="I27" s="67">
        <v>224.65072191398755</v>
      </c>
      <c r="J27" s="70">
        <f>'Part 7 - Pure Endowment'!I27</f>
        <v>323.75924369552172</v>
      </c>
      <c r="L27">
        <v>42</v>
      </c>
      <c r="M27" s="38">
        <f t="shared" si="4"/>
        <v>77.951077975546184</v>
      </c>
      <c r="N27" s="22">
        <f t="shared" si="1"/>
        <v>183.26779915499981</v>
      </c>
      <c r="O27" s="23">
        <f t="shared" si="5"/>
        <v>365.09529295872125</v>
      </c>
    </row>
    <row r="28" spans="1:15" x14ac:dyDescent="0.2">
      <c r="A28">
        <v>43</v>
      </c>
      <c r="B28">
        <v>24</v>
      </c>
      <c r="C28">
        <f t="shared" si="2"/>
        <v>0.31006791028265002</v>
      </c>
      <c r="D28">
        <f t="shared" si="3"/>
        <v>9.6142108987049502E-2</v>
      </c>
      <c r="E28">
        <v>3.4399999999999999E-3</v>
      </c>
      <c r="F28">
        <f t="shared" si="0"/>
        <v>0.99656</v>
      </c>
      <c r="G28" s="34">
        <f t="shared" si="6"/>
        <v>0.95637280749454068</v>
      </c>
      <c r="H28" s="34"/>
      <c r="I28" s="67">
        <v>233.43023476092185</v>
      </c>
      <c r="J28" s="70">
        <f>'Part 7 - Pure Endowment'!I28</f>
        <v>319.47839815789439</v>
      </c>
      <c r="L28">
        <v>43</v>
      </c>
      <c r="M28" s="38">
        <f t="shared" si="4"/>
        <v>84.221316498852417</v>
      </c>
      <c r="N28" s="22">
        <f t="shared" si="1"/>
        <v>186.00313944089532</v>
      </c>
      <c r="O28" s="23">
        <f t="shared" si="5"/>
        <v>365.09529295872125</v>
      </c>
    </row>
    <row r="29" spans="1:15" x14ac:dyDescent="0.2">
      <c r="A29">
        <v>44</v>
      </c>
      <c r="B29">
        <v>25</v>
      </c>
      <c r="C29">
        <f t="shared" si="2"/>
        <v>0.29530277169776192</v>
      </c>
      <c r="D29">
        <f t="shared" si="3"/>
        <v>8.7203726972380505E-2</v>
      </c>
      <c r="E29">
        <v>3.7099999999999998E-3</v>
      </c>
      <c r="F29">
        <f t="shared" si="0"/>
        <v>0.99629000000000001</v>
      </c>
      <c r="G29" s="34">
        <f t="shared" si="6"/>
        <v>0.95282466437873592</v>
      </c>
      <c r="H29" s="34"/>
      <c r="I29" s="67">
        <v>242.49593250679129</v>
      </c>
      <c r="J29" s="70">
        <f>'Part 7 - Pure Endowment'!I29</f>
        <v>314.84920566632331</v>
      </c>
      <c r="L29">
        <v>44</v>
      </c>
      <c r="M29" s="38">
        <f t="shared" si="4"/>
        <v>91.017757167514532</v>
      </c>
      <c r="N29" s="22">
        <f t="shared" si="1"/>
        <v>188.82136882636343</v>
      </c>
      <c r="O29" s="23">
        <f t="shared" si="5"/>
        <v>365.09529295872125</v>
      </c>
    </row>
    <row r="30" spans="1:15" x14ac:dyDescent="0.2">
      <c r="A30">
        <v>45</v>
      </c>
      <c r="B30">
        <v>26</v>
      </c>
      <c r="C30">
        <f t="shared" si="2"/>
        <v>0.28124073495024943</v>
      </c>
      <c r="D30">
        <f t="shared" si="3"/>
        <v>7.9096350995356446E-2</v>
      </c>
      <c r="E30">
        <v>4.0000000000000001E-3</v>
      </c>
      <c r="F30">
        <f t="shared" si="0"/>
        <v>0.996</v>
      </c>
      <c r="G30" s="34">
        <f t="shared" si="6"/>
        <v>0.94901336572122097</v>
      </c>
      <c r="H30" s="34"/>
      <c r="I30" s="67">
        <v>251.84507435799907</v>
      </c>
      <c r="J30" s="70">
        <f>'Part 7 - Pure Endowment'!I30</f>
        <v>309.8529034434921</v>
      </c>
      <c r="L30">
        <v>45</v>
      </c>
      <c r="M30" s="38">
        <f t="shared" si="4"/>
        <v>98.369452188114735</v>
      </c>
      <c r="N30" s="22">
        <f t="shared" si="1"/>
        <v>191.72631296215366</v>
      </c>
      <c r="O30" s="23">
        <f t="shared" si="5"/>
        <v>365.09529295872125</v>
      </c>
    </row>
    <row r="31" spans="1:15" x14ac:dyDescent="0.2">
      <c r="A31">
        <v>46</v>
      </c>
      <c r="B31">
        <v>27</v>
      </c>
      <c r="C31">
        <f t="shared" si="2"/>
        <v>0.26784831900023753</v>
      </c>
      <c r="D31">
        <f t="shared" si="3"/>
        <v>7.1742721991253006E-2</v>
      </c>
      <c r="E31">
        <v>4.3099999999999996E-3</v>
      </c>
      <c r="F31">
        <f t="shared" si="0"/>
        <v>0.99568999999999996</v>
      </c>
      <c r="G31" s="34">
        <f t="shared" si="6"/>
        <v>0.94492311811496243</v>
      </c>
      <c r="H31" s="34"/>
      <c r="I31" s="67">
        <v>261.48326112038058</v>
      </c>
      <c r="J31" s="70">
        <f>'Part 7 - Pure Endowment'!I31</f>
        <v>304.58913725246413</v>
      </c>
      <c r="L31">
        <v>46</v>
      </c>
      <c r="M31" s="38">
        <f t="shared" si="4"/>
        <v>106.19482684493806</v>
      </c>
      <c r="N31" s="22">
        <f t="shared" si="1"/>
        <v>194.72203660218727</v>
      </c>
      <c r="O31" s="23">
        <f t="shared" si="5"/>
        <v>365.09529295872125</v>
      </c>
    </row>
    <row r="32" spans="1:15" x14ac:dyDescent="0.2">
      <c r="A32">
        <v>47</v>
      </c>
      <c r="B32">
        <v>28</v>
      </c>
      <c r="C32">
        <f t="shared" si="2"/>
        <v>0.25509363714308336</v>
      </c>
      <c r="D32">
        <f t="shared" si="3"/>
        <v>6.5072763710887077E-2</v>
      </c>
      <c r="E32">
        <v>4.6600000000000001E-3</v>
      </c>
      <c r="F32">
        <f t="shared" si="0"/>
        <v>0.99534</v>
      </c>
      <c r="G32" s="34">
        <f t="shared" si="6"/>
        <v>0.94051977638454676</v>
      </c>
      <c r="H32" s="34"/>
      <c r="I32" s="67">
        <v>271.4172324482517</v>
      </c>
      <c r="J32" s="70">
        <f>'Part 7 - Pure Endowment'!I32</f>
        <v>298.66370705975334</v>
      </c>
      <c r="L32">
        <v>47</v>
      </c>
      <c r="M32" s="38">
        <f t="shared" si="4"/>
        <v>114.90246859697643</v>
      </c>
      <c r="N32" s="22">
        <f t="shared" si="1"/>
        <v>197.81286257999977</v>
      </c>
      <c r="O32" s="23">
        <f t="shared" si="5"/>
        <v>365.09529295872125</v>
      </c>
    </row>
    <row r="33" spans="1:15" x14ac:dyDescent="0.2">
      <c r="A33">
        <v>48</v>
      </c>
      <c r="B33">
        <v>29</v>
      </c>
      <c r="C33">
        <f t="shared" si="2"/>
        <v>0.2429463210886508</v>
      </c>
      <c r="D33">
        <f t="shared" si="3"/>
        <v>5.9022914930509811E-2</v>
      </c>
      <c r="E33">
        <v>5.0400000000000002E-3</v>
      </c>
      <c r="F33">
        <f t="shared" si="0"/>
        <v>0.99495999999999996</v>
      </c>
      <c r="G33" s="34">
        <f t="shared" si="6"/>
        <v>0.93577955671156865</v>
      </c>
      <c r="H33" s="34"/>
      <c r="I33" s="67">
        <v>281.6405389823218</v>
      </c>
      <c r="J33" s="70">
        <f>'Part 7 - Pure Endowment'!I33</f>
        <v>292.42841878368506</v>
      </c>
      <c r="L33">
        <v>48</v>
      </c>
      <c r="M33" s="38">
        <f t="shared" si="4"/>
        <v>124.16420191535087</v>
      </c>
      <c r="N33" s="22">
        <f t="shared" si="1"/>
        <v>201.00339262161268</v>
      </c>
      <c r="O33" s="23">
        <f t="shared" si="5"/>
        <v>365.09529295872125</v>
      </c>
    </row>
    <row r="34" spans="1:15" x14ac:dyDescent="0.2">
      <c r="A34">
        <v>49</v>
      </c>
      <c r="B34">
        <v>30</v>
      </c>
      <c r="C34">
        <f t="shared" si="2"/>
        <v>0.23137744865585788</v>
      </c>
      <c r="D34">
        <f t="shared" si="3"/>
        <v>5.3535523746494153E-2</v>
      </c>
      <c r="E34">
        <v>5.4599999999999996E-3</v>
      </c>
      <c r="F34">
        <f t="shared" si="0"/>
        <v>0.99453999999999998</v>
      </c>
      <c r="G34" s="34">
        <f t="shared" si="6"/>
        <v>0.93067020033192349</v>
      </c>
      <c r="H34" s="34"/>
      <c r="I34" s="67">
        <v>292.15502726887303</v>
      </c>
      <c r="J34" s="70">
        <f>'Part 7 - Pure Endowment'!I34</f>
        <v>285.74197256742633</v>
      </c>
      <c r="L34">
        <v>49</v>
      </c>
      <c r="M34" s="38">
        <f t="shared" si="4"/>
        <v>134.1350383624638</v>
      </c>
      <c r="N34" s="22">
        <f t="shared" si="1"/>
        <v>204.29853020557354</v>
      </c>
      <c r="O34" s="23">
        <f t="shared" si="5"/>
        <v>365.09529295872125</v>
      </c>
    </row>
    <row r="35" spans="1:15" x14ac:dyDescent="0.2">
      <c r="A35">
        <v>50</v>
      </c>
      <c r="B35">
        <v>31</v>
      </c>
      <c r="C35">
        <f t="shared" si="2"/>
        <v>0.22035947491034086</v>
      </c>
      <c r="D35">
        <f t="shared" si="3"/>
        <v>4.8558298182761139E-2</v>
      </c>
      <c r="E35">
        <v>5.9199999999999999E-3</v>
      </c>
      <c r="F35">
        <f t="shared" si="0"/>
        <v>0.99407999999999996</v>
      </c>
      <c r="G35" s="34">
        <f t="shared" si="6"/>
        <v>0.9251606327459585</v>
      </c>
      <c r="H35" s="34"/>
      <c r="I35" s="67">
        <v>302.95692343426765</v>
      </c>
      <c r="J35" s="70">
        <f>'Part 7 - Pure Endowment'!I35</f>
        <v>278.5850633062056</v>
      </c>
      <c r="L35">
        <v>50</v>
      </c>
      <c r="M35" s="38">
        <f t="shared" si="4"/>
        <v>144.85065858332459</v>
      </c>
      <c r="N35" s="22">
        <f t="shared" si="1"/>
        <v>207.70350570899978</v>
      </c>
      <c r="O35" s="23">
        <f t="shared" si="5"/>
        <v>365.09529295872125</v>
      </c>
    </row>
    <row r="36" spans="1:15" x14ac:dyDescent="0.2">
      <c r="A36">
        <v>51</v>
      </c>
      <c r="B36">
        <v>32</v>
      </c>
      <c r="C36">
        <f t="shared" si="2"/>
        <v>0.20986616658127699</v>
      </c>
      <c r="D36">
        <f t="shared" si="3"/>
        <v>4.4043807875520306E-2</v>
      </c>
      <c r="E36">
        <v>6.4200000000000004E-3</v>
      </c>
      <c r="F36">
        <f t="shared" si="0"/>
        <v>0.99358000000000002</v>
      </c>
      <c r="G36" s="34">
        <f t="shared" si="6"/>
        <v>0.91922110148372949</v>
      </c>
      <c r="H36" s="34"/>
      <c r="I36" s="67">
        <v>314.04390955052025</v>
      </c>
      <c r="J36" s="70">
        <f>'Part 7 - Pure Endowment'!I36</f>
        <v>270.94560891045552</v>
      </c>
      <c r="L36">
        <v>51</v>
      </c>
      <c r="M36" s="38">
        <f t="shared" si="4"/>
        <v>156.34218967587191</v>
      </c>
      <c r="N36" s="22">
        <f t="shared" si="1"/>
        <v>211.22390411084723</v>
      </c>
      <c r="O36" s="23">
        <f t="shared" si="5"/>
        <v>365.09529295872125</v>
      </c>
    </row>
    <row r="37" spans="1:15" x14ac:dyDescent="0.2">
      <c r="A37">
        <v>52</v>
      </c>
      <c r="B37">
        <v>33</v>
      </c>
      <c r="C37">
        <f t="shared" si="2"/>
        <v>0.19987253960121618</v>
      </c>
      <c r="D37">
        <f t="shared" si="3"/>
        <v>3.9949032086639726E-2</v>
      </c>
      <c r="E37">
        <v>6.9699999999999996E-3</v>
      </c>
      <c r="F37">
        <f t="shared" si="0"/>
        <v>0.99302999999999997</v>
      </c>
      <c r="G37" s="34">
        <f t="shared" si="6"/>
        <v>0.91281413040638781</v>
      </c>
      <c r="H37" s="34"/>
      <c r="I37" s="67">
        <v>325.41527106830478</v>
      </c>
      <c r="J37" s="70">
        <f>'Part 7 - Pure Endowment'!I37</f>
        <v>262.80835074313325</v>
      </c>
      <c r="L37">
        <v>52</v>
      </c>
      <c r="M37" s="38">
        <f t="shared" si="4"/>
        <v>168.64649745240317</v>
      </c>
      <c r="N37" s="22">
        <f t="shared" ref="N37:N68" si="7">-PV(0.05,20,1)/(110-A37)*1000</f>
        <v>214.86569556103424</v>
      </c>
      <c r="O37" s="23">
        <f t="shared" si="5"/>
        <v>365.09529295872125</v>
      </c>
    </row>
    <row r="38" spans="1:15" x14ac:dyDescent="0.2">
      <c r="A38">
        <v>53</v>
      </c>
      <c r="B38">
        <v>34</v>
      </c>
      <c r="C38">
        <f t="shared" si="2"/>
        <v>0.19035479962020588</v>
      </c>
      <c r="D38">
        <f t="shared" si="3"/>
        <v>3.6234949738448735E-2</v>
      </c>
      <c r="E38">
        <v>7.5799999999999999E-3</v>
      </c>
      <c r="F38">
        <f t="shared" si="0"/>
        <v>0.99241999999999997</v>
      </c>
      <c r="G38" s="34">
        <f t="shared" si="6"/>
        <v>0.9058949992979074</v>
      </c>
      <c r="H38" s="34"/>
      <c r="I38" s="67">
        <v>337.06538032256833</v>
      </c>
      <c r="J38" s="70">
        <f>'Part 7 - Pure Endowment'!I38</f>
        <v>254.16743087992344</v>
      </c>
      <c r="L38">
        <v>53</v>
      </c>
      <c r="M38" s="38">
        <f t="shared" si="4"/>
        <v>181.78835400890827</v>
      </c>
      <c r="N38" s="22">
        <f t="shared" si="7"/>
        <v>218.63526916736819</v>
      </c>
      <c r="O38" s="23">
        <f t="shared" si="5"/>
        <v>365.09529295872125</v>
      </c>
    </row>
    <row r="39" spans="1:15" x14ac:dyDescent="0.2">
      <c r="A39">
        <v>54</v>
      </c>
      <c r="B39">
        <v>35</v>
      </c>
      <c r="C39">
        <f t="shared" si="2"/>
        <v>0.18129028535257702</v>
      </c>
      <c r="D39">
        <f t="shared" si="3"/>
        <v>3.28661675632188E-2</v>
      </c>
      <c r="E39">
        <v>8.2400000000000008E-3</v>
      </c>
      <c r="F39">
        <f t="shared" si="0"/>
        <v>0.99175999999999997</v>
      </c>
      <c r="G39" s="34">
        <f t="shared" si="6"/>
        <v>0.89843042450369259</v>
      </c>
      <c r="H39" s="34"/>
      <c r="I39" s="67">
        <v>348.98394766197464</v>
      </c>
      <c r="J39" s="70">
        <f>'Part 7 - Pure Endowment'!I39</f>
        <v>245.01922686244004</v>
      </c>
      <c r="L39">
        <v>54</v>
      </c>
      <c r="M39" s="38">
        <f t="shared" si="4"/>
        <v>195.78728911796875</v>
      </c>
      <c r="N39" s="22">
        <f t="shared" si="7"/>
        <v>222.53947040249975</v>
      </c>
      <c r="O39" s="23">
        <f t="shared" si="5"/>
        <v>365.09529295872125</v>
      </c>
    </row>
    <row r="40" spans="1:15" x14ac:dyDescent="0.2">
      <c r="A40">
        <v>55</v>
      </c>
      <c r="B40">
        <v>36</v>
      </c>
      <c r="C40">
        <f t="shared" si="2"/>
        <v>0.17265741462150191</v>
      </c>
      <c r="D40">
        <f t="shared" si="3"/>
        <v>2.9810582823781222E-2</v>
      </c>
      <c r="E40">
        <v>8.9600000000000009E-3</v>
      </c>
      <c r="F40">
        <f t="shared" si="0"/>
        <v>0.99104000000000003</v>
      </c>
      <c r="G40" s="34">
        <f t="shared" si="6"/>
        <v>0.89038048790013957</v>
      </c>
      <c r="H40" s="34"/>
      <c r="I40" s="67">
        <v>361.16917908069837</v>
      </c>
      <c r="J40" s="70">
        <f>'Part 7 - Pure Endowment'!I40</f>
        <v>235.36678958576474</v>
      </c>
      <c r="L40">
        <v>55</v>
      </c>
      <c r="M40" s="38">
        <f t="shared" si="4"/>
        <v>210.66438775180407</v>
      </c>
      <c r="N40" s="22">
        <f t="shared" si="7"/>
        <v>226.58564259163612</v>
      </c>
      <c r="O40" s="23">
        <f t="shared" si="5"/>
        <v>365.09529295872125</v>
      </c>
    </row>
    <row r="41" spans="1:15" x14ac:dyDescent="0.2">
      <c r="A41">
        <v>56</v>
      </c>
      <c r="B41">
        <v>37</v>
      </c>
      <c r="C41">
        <f t="shared" si="2"/>
        <v>0.16443563297285896</v>
      </c>
      <c r="D41">
        <f t="shared" si="3"/>
        <v>2.7039077391184781E-2</v>
      </c>
      <c r="E41">
        <v>9.75E-3</v>
      </c>
      <c r="F41">
        <f t="shared" si="0"/>
        <v>0.99024999999999996</v>
      </c>
      <c r="G41" s="34">
        <f t="shared" si="6"/>
        <v>0.88169927814311322</v>
      </c>
      <c r="H41" s="34"/>
      <c r="I41" s="67">
        <v>373.61523050001364</v>
      </c>
      <c r="J41" s="70">
        <f>'Part 7 - Pure Endowment'!I41</f>
        <v>225.21863923966393</v>
      </c>
      <c r="L41">
        <v>56</v>
      </c>
      <c r="M41" s="38">
        <f t="shared" si="4"/>
        <v>226.43255216044025</v>
      </c>
      <c r="N41" s="22">
        <f t="shared" si="7"/>
        <v>230.78167300999974</v>
      </c>
      <c r="O41" s="23">
        <f t="shared" si="5"/>
        <v>365.09529295872125</v>
      </c>
    </row>
    <row r="42" spans="1:15" x14ac:dyDescent="0.2">
      <c r="A42">
        <v>57</v>
      </c>
      <c r="B42">
        <v>38</v>
      </c>
      <c r="C42">
        <f t="shared" si="2"/>
        <v>0.15660536473605616</v>
      </c>
      <c r="D42">
        <f t="shared" si="3"/>
        <v>2.4525240264113183E-2</v>
      </c>
      <c r="E42">
        <v>1.0619999999999999E-2</v>
      </c>
      <c r="F42">
        <f t="shared" si="0"/>
        <v>0.98938000000000004</v>
      </c>
      <c r="G42" s="34">
        <f t="shared" si="6"/>
        <v>0.87233563180923335</v>
      </c>
      <c r="H42" s="34"/>
      <c r="I42" s="67">
        <v>386.31253928302351</v>
      </c>
      <c r="J42" s="70">
        <f>'Part 7 - Pure Endowment'!I42</f>
        <v>214.59282270315592</v>
      </c>
      <c r="L42">
        <v>57</v>
      </c>
      <c r="M42" s="38">
        <f t="shared" si="4"/>
        <v>243.09242749439611</v>
      </c>
      <c r="N42" s="22">
        <f t="shared" si="7"/>
        <v>235.13604419886767</v>
      </c>
      <c r="O42" s="23">
        <f t="shared" si="5"/>
        <v>365.09529295872125</v>
      </c>
    </row>
    <row r="43" spans="1:15" x14ac:dyDescent="0.2">
      <c r="A43">
        <v>58</v>
      </c>
      <c r="B43">
        <v>39</v>
      </c>
      <c r="C43">
        <f t="shared" si="2"/>
        <v>0.14914796641529154</v>
      </c>
      <c r="D43">
        <f t="shared" si="3"/>
        <v>2.2245115885816933E-2</v>
      </c>
      <c r="E43">
        <v>1.158E-2</v>
      </c>
      <c r="F43">
        <f t="shared" si="0"/>
        <v>0.98841999999999997</v>
      </c>
      <c r="G43" s="34">
        <f t="shared" si="6"/>
        <v>0.86223398519288241</v>
      </c>
      <c r="H43" s="34"/>
      <c r="I43" s="67">
        <v>399.24818193937062</v>
      </c>
      <c r="J43" s="70">
        <f>'Part 7 - Pure Endowment'!I43</f>
        <v>203.51809961675519</v>
      </c>
      <c r="L43">
        <v>58</v>
      </c>
      <c r="M43" s="38">
        <f t="shared" si="4"/>
        <v>260.6310357733596</v>
      </c>
      <c r="N43" s="22">
        <f t="shared" si="7"/>
        <v>239.65789120269204</v>
      </c>
      <c r="O43" s="23">
        <f t="shared" si="5"/>
        <v>365.09529295872125</v>
      </c>
    </row>
    <row r="44" spans="1:15" x14ac:dyDescent="0.2">
      <c r="A44">
        <v>59</v>
      </c>
      <c r="B44">
        <v>40</v>
      </c>
      <c r="C44">
        <f t="shared" si="2"/>
        <v>0.14204568230027767</v>
      </c>
      <c r="D44">
        <f t="shared" si="3"/>
        <v>2.0176975860151419E-2</v>
      </c>
      <c r="E44">
        <v>1.2619999999999999E-2</v>
      </c>
      <c r="F44">
        <f t="shared" si="0"/>
        <v>0.98738000000000004</v>
      </c>
      <c r="G44" s="34">
        <f t="shared" si="6"/>
        <v>0.85135259229974825</v>
      </c>
      <c r="H44" s="34"/>
      <c r="I44" s="67">
        <v>412.40625547473684</v>
      </c>
      <c r="J44" s="70">
        <f>'Part 7 - Pure Endowment'!I44</f>
        <v>192.03080193194626</v>
      </c>
      <c r="L44">
        <v>59</v>
      </c>
      <c r="M44" s="38">
        <f t="shared" si="4"/>
        <v>279.02470805245605</v>
      </c>
      <c r="N44" s="22">
        <f t="shared" si="7"/>
        <v>244.35706553999972</v>
      </c>
      <c r="O44" s="23">
        <f t="shared" si="5"/>
        <v>365.09529295872125</v>
      </c>
    </row>
    <row r="45" spans="1:15" x14ac:dyDescent="0.2">
      <c r="A45">
        <v>60</v>
      </c>
      <c r="B45">
        <v>41</v>
      </c>
      <c r="C45">
        <f t="shared" si="2"/>
        <v>0.13528160219074065</v>
      </c>
      <c r="D45">
        <f t="shared" si="3"/>
        <v>1.8301111891293805E-2</v>
      </c>
      <c r="E45">
        <v>1.376E-2</v>
      </c>
      <c r="F45">
        <f t="shared" si="0"/>
        <v>0.98624000000000001</v>
      </c>
      <c r="G45" s="34">
        <f t="shared" si="6"/>
        <v>0.83963798062970374</v>
      </c>
      <c r="H45" s="34"/>
      <c r="I45" s="67">
        <v>425.77991072178258</v>
      </c>
      <c r="J45" s="70">
        <f>'Part 7 - Pure Endowment'!I45</f>
        <v>180.17887352572697</v>
      </c>
      <c r="L45">
        <v>60</v>
      </c>
      <c r="M45" s="38">
        <f t="shared" si="4"/>
        <v>298.24558857298382</v>
      </c>
      <c r="N45" s="22">
        <f t="shared" si="7"/>
        <v>249.24420685079974</v>
      </c>
      <c r="O45" s="23">
        <f t="shared" si="5"/>
        <v>365.09529295872125</v>
      </c>
    </row>
    <row r="46" spans="1:15" x14ac:dyDescent="0.2">
      <c r="A46">
        <v>61</v>
      </c>
      <c r="B46">
        <v>42</v>
      </c>
      <c r="C46">
        <f t="shared" si="2"/>
        <v>0.12883962113403868</v>
      </c>
      <c r="D46">
        <f t="shared" si="3"/>
        <v>1.6599647973962628E-2</v>
      </c>
      <c r="E46">
        <v>1.5009999999999999E-2</v>
      </c>
      <c r="F46">
        <f t="shared" si="0"/>
        <v>0.98499000000000003</v>
      </c>
      <c r="G46" s="34">
        <f t="shared" si="6"/>
        <v>0.82703501454045192</v>
      </c>
      <c r="H46" s="34"/>
      <c r="I46" s="67">
        <v>439.35442312000282</v>
      </c>
      <c r="J46" s="70">
        <f>'Part 7 - Pure Endowment'!I46</f>
        <v>168.02249957577379</v>
      </c>
      <c r="L46">
        <v>61</v>
      </c>
      <c r="M46" s="38">
        <f t="shared" si="4"/>
        <v>318.24528669061158</v>
      </c>
      <c r="N46" s="22">
        <f t="shared" si="7"/>
        <v>254.33082331714257</v>
      </c>
      <c r="O46" s="23">
        <f t="shared" si="5"/>
        <v>365.09529295872125</v>
      </c>
    </row>
    <row r="47" spans="1:15" x14ac:dyDescent="0.2">
      <c r="A47">
        <v>62</v>
      </c>
      <c r="B47">
        <v>43</v>
      </c>
      <c r="C47">
        <f t="shared" si="2"/>
        <v>0.12270440108003686</v>
      </c>
      <c r="D47">
        <f t="shared" si="3"/>
        <v>1.5056370044410549E-2</v>
      </c>
      <c r="E47">
        <v>1.6379999999999999E-2</v>
      </c>
      <c r="F47">
        <f t="shared" si="0"/>
        <v>0.98362000000000005</v>
      </c>
      <c r="G47" s="34">
        <f t="shared" si="6"/>
        <v>0.81348818100227938</v>
      </c>
      <c r="H47" s="34"/>
      <c r="I47" s="67">
        <v>453.11337605052154</v>
      </c>
      <c r="J47" s="70">
        <f>'Part 7 - Pure Endowment'!I47</f>
        <v>155.63305994269277</v>
      </c>
      <c r="L47">
        <v>62</v>
      </c>
      <c r="M47" s="38">
        <f t="shared" si="4"/>
        <v>338.96084517402539</v>
      </c>
      <c r="N47" s="22">
        <f t="shared" si="7"/>
        <v>259.62938213624972</v>
      </c>
      <c r="O47" s="23">
        <f t="shared" si="5"/>
        <v>365.09529295872125</v>
      </c>
    </row>
    <row r="48" spans="1:15" x14ac:dyDescent="0.2">
      <c r="A48">
        <v>63</v>
      </c>
      <c r="B48">
        <v>44</v>
      </c>
      <c r="C48">
        <f t="shared" si="2"/>
        <v>0.11686133436193985</v>
      </c>
      <c r="D48">
        <f t="shared" si="3"/>
        <v>1.3656571468853103E-2</v>
      </c>
      <c r="E48">
        <v>1.788E-2</v>
      </c>
      <c r="F48">
        <f t="shared" si="0"/>
        <v>0.98211999999999999</v>
      </c>
      <c r="G48" s="34">
        <f t="shared" si="6"/>
        <v>0.79894301232595866</v>
      </c>
      <c r="H48" s="34"/>
      <c r="I48" s="67">
        <v>467.0391460656021</v>
      </c>
      <c r="J48" s="70">
        <f>'Part 7 - Pure Endowment'!I48</f>
        <v>143.09691047515503</v>
      </c>
      <c r="L48">
        <v>63</v>
      </c>
      <c r="M48" s="38">
        <f t="shared" si="4"/>
        <v>360.31085611704458</v>
      </c>
      <c r="N48" s="22">
        <f t="shared" si="7"/>
        <v>265.15341154340393</v>
      </c>
      <c r="O48" s="23">
        <f t="shared" si="5"/>
        <v>365.09529295872125</v>
      </c>
    </row>
    <row r="49" spans="1:15" x14ac:dyDescent="0.2">
      <c r="A49">
        <v>64</v>
      </c>
      <c r="B49">
        <v>45</v>
      </c>
      <c r="C49">
        <f t="shared" si="2"/>
        <v>0.11129650891613319</v>
      </c>
      <c r="D49">
        <f t="shared" si="3"/>
        <v>1.2386912896918914E-2</v>
      </c>
      <c r="E49">
        <v>1.9519999999999999E-2</v>
      </c>
      <c r="F49">
        <f t="shared" si="0"/>
        <v>0.98048000000000002</v>
      </c>
      <c r="G49" s="34">
        <f t="shared" si="6"/>
        <v>0.78334764472535601</v>
      </c>
      <c r="H49" s="34"/>
      <c r="I49" s="67">
        <v>481.11341116043047</v>
      </c>
      <c r="J49" s="70">
        <f>'Part 7 - Pure Endowment'!I49</f>
        <v>130.50825220014437</v>
      </c>
      <c r="L49">
        <v>64</v>
      </c>
      <c r="M49" s="38">
        <f t="shared" si="4"/>
        <v>382.20232226942306</v>
      </c>
      <c r="N49" s="22">
        <f t="shared" si="7"/>
        <v>270.91761614217364</v>
      </c>
      <c r="O49" s="23">
        <f t="shared" si="5"/>
        <v>365.09529295872125</v>
      </c>
    </row>
    <row r="50" spans="1:15" x14ac:dyDescent="0.2">
      <c r="A50">
        <v>65</v>
      </c>
      <c r="B50">
        <v>46</v>
      </c>
      <c r="C50">
        <f t="shared" si="2"/>
        <v>0.10599667515822207</v>
      </c>
      <c r="D50">
        <f t="shared" si="3"/>
        <v>1.1235295144597653E-2</v>
      </c>
      <c r="E50">
        <v>2.0920000000000001E-2</v>
      </c>
      <c r="F50">
        <f t="shared" si="0"/>
        <v>0.97907999999999995</v>
      </c>
      <c r="G50" s="34">
        <f t="shared" si="6"/>
        <v>0.76696001199770147</v>
      </c>
      <c r="H50" s="34"/>
      <c r="I50" s="67">
        <v>495.31768288843449</v>
      </c>
      <c r="J50" s="70">
        <f>'Part 7 - Pure Endowment'!I50</f>
        <v>117.97361395185007</v>
      </c>
      <c r="L50">
        <v>65</v>
      </c>
      <c r="M50" s="38">
        <f t="shared" si="4"/>
        <v>404.5262744528485</v>
      </c>
      <c r="N50" s="22">
        <f t="shared" si="7"/>
        <v>276.93800761199969</v>
      </c>
      <c r="O50" s="23">
        <f t="shared" si="5"/>
        <v>365.09529295872125</v>
      </c>
    </row>
    <row r="51" spans="1:15" x14ac:dyDescent="0.2">
      <c r="A51">
        <v>66</v>
      </c>
      <c r="B51">
        <v>47</v>
      </c>
      <c r="C51">
        <f t="shared" si="2"/>
        <v>0.10094921443640198</v>
      </c>
      <c r="D51">
        <f t="shared" si="3"/>
        <v>1.0190743895326669E-2</v>
      </c>
      <c r="E51">
        <v>2.368E-2</v>
      </c>
      <c r="F51">
        <f t="shared" si="0"/>
        <v>0.97631999999999997</v>
      </c>
      <c r="G51" s="34">
        <f t="shared" si="6"/>
        <v>0.7487983989135959</v>
      </c>
      <c r="H51" s="34"/>
      <c r="I51" s="67">
        <v>509.82919376645043</v>
      </c>
      <c r="J51" s="70">
        <f>'Part 7 - Pure Endowment'!I51</f>
        <v>105.56631012721675</v>
      </c>
      <c r="L51">
        <v>66</v>
      </c>
      <c r="M51" s="38">
        <f t="shared" si="4"/>
        <v>427.38932386320391</v>
      </c>
      <c r="N51" s="22">
        <f t="shared" si="7"/>
        <v>283.23205323954517</v>
      </c>
      <c r="O51" s="23">
        <f t="shared" si="5"/>
        <v>365.09529295872125</v>
      </c>
    </row>
    <row r="52" spans="1:15" x14ac:dyDescent="0.2">
      <c r="A52">
        <v>67</v>
      </c>
      <c r="B52">
        <v>48</v>
      </c>
      <c r="C52">
        <f t="shared" si="2"/>
        <v>9.6142108987049502E-2</v>
      </c>
      <c r="D52">
        <f t="shared" si="3"/>
        <v>9.2433051204777045E-3</v>
      </c>
      <c r="E52">
        <v>2.5440000000000001E-2</v>
      </c>
      <c r="F52">
        <f t="shared" si="0"/>
        <v>0.97455999999999998</v>
      </c>
      <c r="G52" s="34">
        <f t="shared" si="6"/>
        <v>0.729748967645234</v>
      </c>
      <c r="H52" s="34"/>
      <c r="I52" s="67">
        <v>524.05016127373494</v>
      </c>
      <c r="J52" s="70">
        <f>'Part 7 - Pure Endowment'!I52</f>
        <v>93.536127743619019</v>
      </c>
      <c r="L52">
        <v>67</v>
      </c>
      <c r="M52" s="38">
        <f t="shared" si="4"/>
        <v>449.97942062533872</v>
      </c>
      <c r="N52" s="22">
        <f t="shared" si="7"/>
        <v>289.81884517534849</v>
      </c>
      <c r="O52" s="23">
        <f t="shared" si="5"/>
        <v>365.09529295872125</v>
      </c>
    </row>
    <row r="53" spans="1:15" x14ac:dyDescent="0.2">
      <c r="A53">
        <v>68</v>
      </c>
      <c r="B53">
        <v>49</v>
      </c>
      <c r="C53">
        <f t="shared" si="2"/>
        <v>9.1563913320999515E-2</v>
      </c>
      <c r="D53">
        <f t="shared" si="3"/>
        <v>8.3839502226555132E-3</v>
      </c>
      <c r="E53">
        <v>2.7789999999999999E-2</v>
      </c>
      <c r="F53">
        <f t="shared" si="0"/>
        <v>0.97221000000000002</v>
      </c>
      <c r="G53" s="34">
        <f t="shared" si="6"/>
        <v>0.70946924383437293</v>
      </c>
      <c r="H53" s="34"/>
      <c r="I53" s="67">
        <v>538.51242544063143</v>
      </c>
      <c r="J53" s="70">
        <f>'Part 7 - Pure Endowment'!I53</f>
        <v>81.879623562796368</v>
      </c>
      <c r="L53">
        <v>68</v>
      </c>
      <c r="M53" s="38">
        <f t="shared" si="4"/>
        <v>472.80610066169953</v>
      </c>
      <c r="N53" s="22">
        <f t="shared" si="7"/>
        <v>296.71929386999966</v>
      </c>
      <c r="O53" s="23">
        <f t="shared" si="5"/>
        <v>365.09529295872125</v>
      </c>
    </row>
    <row r="54" spans="1:15" x14ac:dyDescent="0.2">
      <c r="A54">
        <v>69</v>
      </c>
      <c r="B54">
        <v>50</v>
      </c>
      <c r="C54">
        <f t="shared" si="2"/>
        <v>8.7203726972380491E-2</v>
      </c>
      <c r="D54">
        <f t="shared" si="3"/>
        <v>7.6044899978734808E-3</v>
      </c>
      <c r="E54">
        <v>3.0370000000000001E-2</v>
      </c>
      <c r="F54">
        <f t="shared" si="0"/>
        <v>0.96962999999999999</v>
      </c>
      <c r="G54" s="34">
        <f t="shared" si="6"/>
        <v>0.68792266289912307</v>
      </c>
      <c r="H54" s="34"/>
      <c r="I54" s="67">
        <v>553.01637168169736</v>
      </c>
      <c r="J54" s="70">
        <f>'Part 7 - Pure Endowment'!I54</f>
        <v>70.760885941541332</v>
      </c>
      <c r="L54">
        <v>69</v>
      </c>
      <c r="M54" s="38">
        <f t="shared" si="4"/>
        <v>495.51186300938582</v>
      </c>
      <c r="N54" s="22">
        <f t="shared" si="7"/>
        <v>303.95634981804841</v>
      </c>
      <c r="O54" s="23">
        <f t="shared" si="5"/>
        <v>365.09529295872125</v>
      </c>
    </row>
    <row r="55" spans="1:15" x14ac:dyDescent="0.2">
      <c r="A55">
        <v>70</v>
      </c>
      <c r="B55">
        <v>51</v>
      </c>
      <c r="C55">
        <f t="shared" si="2"/>
        <v>8.3051168545124274E-2</v>
      </c>
      <c r="D55">
        <f t="shared" si="3"/>
        <v>6.8974965967106396E-3</v>
      </c>
      <c r="E55">
        <v>3.3180000000000001E-2</v>
      </c>
      <c r="F55">
        <f t="shared" si="0"/>
        <v>0.96682000000000001</v>
      </c>
      <c r="G55" s="34">
        <f t="shared" si="6"/>
        <v>0.66509738894413017</v>
      </c>
      <c r="H55" s="34"/>
      <c r="I55" s="67">
        <v>567.5331727213287</v>
      </c>
      <c r="J55" s="70">
        <f>'Part 7 - Pure Endowment'!I55</f>
        <v>60.297414487173967</v>
      </c>
      <c r="L55">
        <v>70</v>
      </c>
      <c r="M55" s="38">
        <f t="shared" si="4"/>
        <v>517.94206046862996</v>
      </c>
      <c r="N55" s="22">
        <f t="shared" si="7"/>
        <v>311.55525856349965</v>
      </c>
      <c r="O55" s="23">
        <f t="shared" si="5"/>
        <v>365.09529295872125</v>
      </c>
    </row>
    <row r="56" spans="1:15" x14ac:dyDescent="0.2">
      <c r="A56">
        <v>71</v>
      </c>
      <c r="B56">
        <v>52</v>
      </c>
      <c r="C56">
        <f t="shared" si="2"/>
        <v>7.909635099535646E-2</v>
      </c>
      <c r="D56">
        <f t="shared" si="3"/>
        <v>6.2562327407806265E-3</v>
      </c>
      <c r="E56">
        <v>3.6260000000000001E-2</v>
      </c>
      <c r="F56">
        <f t="shared" si="0"/>
        <v>0.96374000000000004</v>
      </c>
      <c r="G56" s="34">
        <f t="shared" si="6"/>
        <v>0.64098095762101603</v>
      </c>
      <c r="H56" s="34"/>
      <c r="I56" s="67">
        <v>582.0419843997804</v>
      </c>
      <c r="J56" s="70">
        <f>'Part 7 - Pure Endowment'!I56</f>
        <v>50.593772940599237</v>
      </c>
      <c r="L56">
        <v>71</v>
      </c>
      <c r="M56" s="38">
        <f t="shared" si="4"/>
        <v>539.95728928322319</v>
      </c>
      <c r="N56" s="22">
        <f t="shared" si="7"/>
        <v>319.54385493692274</v>
      </c>
      <c r="O56" s="23">
        <f t="shared" si="5"/>
        <v>365.09529295872125</v>
      </c>
    </row>
    <row r="57" spans="1:15" x14ac:dyDescent="0.2">
      <c r="A57">
        <v>72</v>
      </c>
      <c r="B57">
        <v>53</v>
      </c>
      <c r="C57">
        <f t="shared" si="2"/>
        <v>7.532985809081566E-2</v>
      </c>
      <c r="D57">
        <f t="shared" si="3"/>
        <v>5.6745875199824252E-3</v>
      </c>
      <c r="E57">
        <v>3.9619999999999995E-2</v>
      </c>
      <c r="F57">
        <f t="shared" si="0"/>
        <v>0.96038000000000001</v>
      </c>
      <c r="G57" s="34">
        <f t="shared" si="6"/>
        <v>0.6155852920800714</v>
      </c>
      <c r="H57" s="34"/>
      <c r="I57" s="67">
        <v>596.51366926740525</v>
      </c>
      <c r="J57" s="70">
        <f>'Part 7 - Pure Endowment'!I57</f>
        <v>41.739048967441668</v>
      </c>
      <c r="L57">
        <v>72</v>
      </c>
      <c r="M57" s="38">
        <f t="shared" si="4"/>
        <v>561.42044082024302</v>
      </c>
      <c r="N57" s="22">
        <f t="shared" si="7"/>
        <v>327.9529037510523</v>
      </c>
      <c r="O57" s="23">
        <f t="shared" si="5"/>
        <v>365.09529295872125</v>
      </c>
    </row>
    <row r="58" spans="1:15" x14ac:dyDescent="0.2">
      <c r="A58">
        <v>73</v>
      </c>
      <c r="B58">
        <v>54</v>
      </c>
      <c r="C58">
        <f t="shared" si="2"/>
        <v>7.1742721991253006E-2</v>
      </c>
      <c r="D58">
        <f t="shared" si="3"/>
        <v>5.1470181587142177E-3</v>
      </c>
      <c r="E58">
        <v>4.3299999999999998E-2</v>
      </c>
      <c r="F58">
        <f t="shared" si="0"/>
        <v>0.95669999999999999</v>
      </c>
      <c r="G58" s="34">
        <f t="shared" si="6"/>
        <v>0.58893044893300428</v>
      </c>
      <c r="H58" s="34"/>
      <c r="I58" s="67">
        <v>610.92416827794796</v>
      </c>
      <c r="J58" s="70">
        <f>'Part 7 - Pure Endowment'!I58</f>
        <v>33.800902302680619</v>
      </c>
      <c r="L58">
        <v>73</v>
      </c>
      <c r="M58" s="38">
        <f t="shared" si="4"/>
        <v>582.21620741294964</v>
      </c>
      <c r="N58" s="22">
        <f t="shared" si="7"/>
        <v>336.8164957443239</v>
      </c>
      <c r="O58" s="23">
        <f t="shared" si="5"/>
        <v>365.09529295872125</v>
      </c>
    </row>
    <row r="59" spans="1:15" x14ac:dyDescent="0.2">
      <c r="A59">
        <v>74</v>
      </c>
      <c r="B59">
        <v>55</v>
      </c>
      <c r="C59">
        <f t="shared" si="2"/>
        <v>6.8326401896431424E-2</v>
      </c>
      <c r="D59">
        <f t="shared" si="3"/>
        <v>4.6684971961126675E-3</v>
      </c>
      <c r="E59">
        <v>4.7310000000000005E-2</v>
      </c>
      <c r="F59">
        <f t="shared" si="0"/>
        <v>0.95269000000000004</v>
      </c>
      <c r="G59" s="34">
        <f t="shared" si="6"/>
        <v>0.56106814939398386</v>
      </c>
      <c r="H59" s="34"/>
      <c r="I59" s="67">
        <v>625.2434166320113</v>
      </c>
      <c r="J59" s="70">
        <f>'Part 7 - Pure Endowment'!I59</f>
        <v>26.820964747629301</v>
      </c>
      <c r="L59">
        <v>74</v>
      </c>
      <c r="M59" s="38">
        <f t="shared" si="4"/>
        <v>602.24553476766039</v>
      </c>
      <c r="N59" s="22">
        <f t="shared" si="7"/>
        <v>346.1725095149996</v>
      </c>
      <c r="O59" s="23">
        <f t="shared" si="5"/>
        <v>365.09529295872125</v>
      </c>
    </row>
    <row r="60" spans="1:15" x14ac:dyDescent="0.2">
      <c r="A60">
        <v>75</v>
      </c>
      <c r="B60">
        <v>56</v>
      </c>
      <c r="C60">
        <f t="shared" si="2"/>
        <v>6.5072763710887077E-2</v>
      </c>
      <c r="D60">
        <f t="shared" si="3"/>
        <v>4.2344645769729419E-3</v>
      </c>
      <c r="E60">
        <v>5.169E-2</v>
      </c>
      <c r="F60">
        <f t="shared" si="0"/>
        <v>0.94830999999999999</v>
      </c>
      <c r="G60" s="34">
        <f t="shared" si="6"/>
        <v>0.53206653675180882</v>
      </c>
      <c r="H60" s="34"/>
      <c r="I60" s="67">
        <v>639.44786600427426</v>
      </c>
      <c r="J60" s="70">
        <f>'Part 7 - Pure Endowment'!I60</f>
        <v>20.812577657978899</v>
      </c>
      <c r="L60">
        <v>75</v>
      </c>
      <c r="M60" s="38">
        <f t="shared" si="4"/>
        <v>621.44122604907466</v>
      </c>
      <c r="N60" s="22">
        <f t="shared" si="7"/>
        <v>356.06315264399962</v>
      </c>
      <c r="O60" s="23">
        <f t="shared" si="5"/>
        <v>365.09529295872125</v>
      </c>
    </row>
    <row r="61" spans="1:15" x14ac:dyDescent="0.2">
      <c r="A61">
        <v>76</v>
      </c>
      <c r="B61">
        <v>57</v>
      </c>
      <c r="C61">
        <f t="shared" si="2"/>
        <v>6.1974060677035314E-2</v>
      </c>
      <c r="D61">
        <f t="shared" si="3"/>
        <v>3.840784196800855E-3</v>
      </c>
      <c r="E61">
        <v>5.6469999999999999E-2</v>
      </c>
      <c r="F61">
        <f t="shared" si="0"/>
        <v>0.94352999999999998</v>
      </c>
      <c r="G61" s="34">
        <f t="shared" si="6"/>
        <v>0.50202073942143421</v>
      </c>
      <c r="H61" s="34"/>
      <c r="I61" s="67">
        <v>653.51020162656505</v>
      </c>
      <c r="J61" s="70">
        <f>'Part 7 - Pure Endowment'!I61</f>
        <v>15.759934926783501</v>
      </c>
      <c r="L61">
        <v>76</v>
      </c>
      <c r="M61" s="38">
        <f t="shared" si="4"/>
        <v>639.75974219304783</v>
      </c>
      <c r="N61" s="22">
        <f t="shared" si="7"/>
        <v>366.53559830999961</v>
      </c>
      <c r="O61" s="23">
        <f t="shared" si="5"/>
        <v>365.09529295872125</v>
      </c>
    </row>
    <row r="62" spans="1:15" x14ac:dyDescent="0.2">
      <c r="A62">
        <v>77</v>
      </c>
      <c r="B62">
        <v>58</v>
      </c>
      <c r="C62">
        <f t="shared" si="2"/>
        <v>5.9022914930509818E-2</v>
      </c>
      <c r="D62">
        <f t="shared" si="3"/>
        <v>3.4837044868941988E-3</v>
      </c>
      <c r="E62">
        <v>6.1679999999999999E-2</v>
      </c>
      <c r="F62">
        <f t="shared" si="0"/>
        <v>0.93832000000000004</v>
      </c>
      <c r="G62" s="34">
        <f t="shared" si="6"/>
        <v>0.47105610021392019</v>
      </c>
      <c r="H62" s="34"/>
      <c r="I62" s="67">
        <v>667.40401652082437</v>
      </c>
      <c r="J62" s="70">
        <f>'Part 7 - Pure Endowment'!I62</f>
        <v>11.617884686575165</v>
      </c>
      <c r="L62">
        <v>77</v>
      </c>
      <c r="M62" s="38">
        <f t="shared" si="4"/>
        <v>657.18720283526704</v>
      </c>
      <c r="N62" s="22">
        <f t="shared" si="7"/>
        <v>377.64273765272685</v>
      </c>
      <c r="O62" s="23">
        <f t="shared" si="5"/>
        <v>365.09529295872125</v>
      </c>
    </row>
    <row r="63" spans="1:15" x14ac:dyDescent="0.2">
      <c r="A63">
        <v>78</v>
      </c>
      <c r="B63">
        <v>59</v>
      </c>
      <c r="C63">
        <f t="shared" si="2"/>
        <v>5.621229993381887E-2</v>
      </c>
      <c r="D63">
        <f t="shared" si="3"/>
        <v>3.1598226638496129E-3</v>
      </c>
      <c r="E63">
        <v>6.7369999999999999E-2</v>
      </c>
      <c r="F63">
        <f t="shared" si="0"/>
        <v>0.93262999999999996</v>
      </c>
      <c r="G63" s="34">
        <f t="shared" si="6"/>
        <v>0.43932105074250838</v>
      </c>
      <c r="H63" s="34"/>
      <c r="I63" s="67">
        <v>681.10475887422751</v>
      </c>
      <c r="J63" s="70">
        <f>'Part 7 - Pure Endowment'!I63</f>
        <v>8.316212410036103</v>
      </c>
      <c r="L63">
        <v>78</v>
      </c>
      <c r="M63" s="38">
        <f t="shared" si="4"/>
        <v>673.73729562944425</v>
      </c>
      <c r="N63" s="22">
        <f t="shared" si="7"/>
        <v>389.44407320437455</v>
      </c>
      <c r="O63" s="23">
        <f t="shared" si="5"/>
        <v>365.09529295872125</v>
      </c>
    </row>
    <row r="64" spans="1:15" x14ac:dyDescent="0.2">
      <c r="A64">
        <v>79</v>
      </c>
      <c r="B64">
        <v>60</v>
      </c>
      <c r="C64">
        <f t="shared" si="2"/>
        <v>5.353552374649416E-2</v>
      </c>
      <c r="D64">
        <f t="shared" si="3"/>
        <v>2.86605230281144E-3</v>
      </c>
      <c r="E64">
        <v>7.356E-2</v>
      </c>
      <c r="F64">
        <f t="shared" si="0"/>
        <v>0.92644000000000004</v>
      </c>
      <c r="G64" s="34">
        <f t="shared" si="6"/>
        <v>0.4070045942498895</v>
      </c>
      <c r="H64" s="34"/>
      <c r="I64" s="67">
        <v>694.58412963119258</v>
      </c>
      <c r="J64" s="70">
        <f>'Part 7 - Pure Endowment'!I64</f>
        <v>5.7639146305044173</v>
      </c>
      <c r="L64">
        <v>79</v>
      </c>
      <c r="M64" s="38">
        <f t="shared" si="4"/>
        <v>689.44251538027447</v>
      </c>
      <c r="N64" s="22">
        <f t="shared" si="7"/>
        <v>402.00678524322535</v>
      </c>
      <c r="O64" s="23">
        <f t="shared" si="5"/>
        <v>365.09529295872125</v>
      </c>
    </row>
    <row r="65" spans="1:15" x14ac:dyDescent="0.2">
      <c r="A65">
        <v>80</v>
      </c>
      <c r="B65">
        <v>61</v>
      </c>
      <c r="C65">
        <f t="shared" si="2"/>
        <v>5.0986213091899199E-2</v>
      </c>
      <c r="D65">
        <f t="shared" si="3"/>
        <v>2.5995939254525534E-3</v>
      </c>
      <c r="E65">
        <v>8.0299999999999996E-2</v>
      </c>
      <c r="F65">
        <f t="shared" si="0"/>
        <v>0.91969999999999996</v>
      </c>
      <c r="G65" s="34">
        <f t="shared" si="6"/>
        <v>0.37432212533162335</v>
      </c>
      <c r="H65" s="34"/>
      <c r="I65" s="67">
        <v>707.82062099299719</v>
      </c>
      <c r="J65" s="70">
        <f>'Part 7 - Pure Endowment'!I65</f>
        <v>3.8561313069239658</v>
      </c>
      <c r="L65">
        <v>80</v>
      </c>
      <c r="M65" s="38">
        <f t="shared" si="4"/>
        <v>704.35870805643765</v>
      </c>
      <c r="N65" s="22">
        <f t="shared" si="7"/>
        <v>415.40701141799957</v>
      </c>
      <c r="O65" s="23">
        <f t="shared" si="5"/>
        <v>365.09529295872125</v>
      </c>
    </row>
    <row r="66" spans="1:15" x14ac:dyDescent="0.2">
      <c r="A66">
        <v>81</v>
      </c>
      <c r="B66">
        <v>62</v>
      </c>
      <c r="C66">
        <f t="shared" si="2"/>
        <v>4.8558298182761132E-2</v>
      </c>
      <c r="D66">
        <f t="shared" si="3"/>
        <v>2.3579083224059432E-3</v>
      </c>
      <c r="E66">
        <v>8.7639999999999996E-2</v>
      </c>
      <c r="F66">
        <f t="shared" si="0"/>
        <v>0.91236000000000006</v>
      </c>
      <c r="G66" s="34">
        <f t="shared" si="6"/>
        <v>0.3415165342675599</v>
      </c>
      <c r="H66" s="34"/>
      <c r="I66" s="67">
        <v>720.79118412813614</v>
      </c>
      <c r="J66" s="70">
        <f>'Part 7 - Pure Endowment'!I66</f>
        <v>2.481642924803912</v>
      </c>
      <c r="L66">
        <v>81</v>
      </c>
      <c r="M66" s="38">
        <f t="shared" si="4"/>
        <v>718.54997039060686</v>
      </c>
      <c r="N66" s="22">
        <f t="shared" si="7"/>
        <v>429.73139112206849</v>
      </c>
      <c r="O66" s="23">
        <f t="shared" si="5"/>
        <v>365.09529295872125</v>
      </c>
    </row>
    <row r="67" spans="1:15" x14ac:dyDescent="0.2">
      <c r="A67">
        <v>82</v>
      </c>
      <c r="B67">
        <v>63</v>
      </c>
      <c r="C67">
        <f t="shared" si="2"/>
        <v>4.6245998269296325E-2</v>
      </c>
      <c r="D67">
        <f t="shared" si="3"/>
        <v>2.1386923559237585E-3</v>
      </c>
      <c r="E67">
        <v>9.5610000000000001E-2</v>
      </c>
      <c r="F67">
        <f t="shared" si="0"/>
        <v>0.90439000000000003</v>
      </c>
      <c r="G67" s="34">
        <f t="shared" si="6"/>
        <v>0.3088641384262385</v>
      </c>
      <c r="H67" s="34"/>
      <c r="I67" s="67">
        <v>733.47225145177629</v>
      </c>
      <c r="J67" s="70">
        <f>'Part 7 - Pure Endowment'!I67</f>
        <v>1.5306130328441154</v>
      </c>
      <c r="L67">
        <v>82</v>
      </c>
      <c r="M67" s="38">
        <f t="shared" si="4"/>
        <v>732.08233781434433</v>
      </c>
      <c r="N67" s="22">
        <f t="shared" si="7"/>
        <v>445.07894080499949</v>
      </c>
      <c r="O67" s="23">
        <f t="shared" si="5"/>
        <v>365.09529295872125</v>
      </c>
    </row>
    <row r="68" spans="1:15" x14ac:dyDescent="0.2">
      <c r="A68">
        <v>83</v>
      </c>
      <c r="B68">
        <v>64</v>
      </c>
      <c r="C68">
        <f t="shared" si="2"/>
        <v>4.4043807875520306E-2</v>
      </c>
      <c r="D68">
        <f t="shared" si="3"/>
        <v>1.9398570121757445E-3</v>
      </c>
      <c r="E68">
        <v>0.10428</v>
      </c>
      <c r="F68">
        <f t="shared" si="0"/>
        <v>0.89571999999999996</v>
      </c>
      <c r="G68" s="34">
        <f t="shared" si="6"/>
        <v>0.27665578607115032</v>
      </c>
      <c r="H68" s="34"/>
      <c r="I68" s="67">
        <v>745.84622123681743</v>
      </c>
      <c r="J68" s="70">
        <f>'Part 7 - Pure Endowment'!I68</f>
        <v>0.90103060909107624</v>
      </c>
      <c r="L68">
        <v>83</v>
      </c>
      <c r="M68" s="38">
        <f t="shared" si="4"/>
        <v>745.02392183167649</v>
      </c>
      <c r="N68" s="22">
        <f t="shared" si="7"/>
        <v>461.56334601999947</v>
      </c>
      <c r="O68" s="23">
        <f t="shared" si="5"/>
        <v>365.09529295872125</v>
      </c>
    </row>
    <row r="69" spans="1:15" x14ac:dyDescent="0.2">
      <c r="A69">
        <v>84</v>
      </c>
      <c r="B69">
        <v>65</v>
      </c>
      <c r="C69">
        <f t="shared" si="2"/>
        <v>4.1946483690971717E-2</v>
      </c>
      <c r="D69">
        <f t="shared" si="3"/>
        <v>1.7595074940369563E-3</v>
      </c>
      <c r="E69">
        <v>0.11369</v>
      </c>
      <c r="F69">
        <f t="shared" ref="F69:F95" si="8">1-E69</f>
        <v>0.88631000000000004</v>
      </c>
      <c r="G69" s="34">
        <f t="shared" si="6"/>
        <v>0.24520278975272125</v>
      </c>
      <c r="H69" s="34"/>
      <c r="I69" s="67">
        <v>757.89145301953556</v>
      </c>
      <c r="J69" s="70">
        <f>'Part 7 - Pure Endowment'!I69</f>
        <v>0.50398042408422283</v>
      </c>
      <c r="L69">
        <v>84</v>
      </c>
      <c r="M69" s="38">
        <f t="shared" si="4"/>
        <v>757.42946812272896</v>
      </c>
      <c r="N69" s="22">
        <f t="shared" ref="N69:N95" si="9">-PV(0.05,20,1)/(110-A69)*1000</f>
        <v>479.31578240538408</v>
      </c>
      <c r="O69" s="23">
        <f t="shared" si="5"/>
        <v>365.09529295872125</v>
      </c>
    </row>
    <row r="70" spans="1:15" x14ac:dyDescent="0.2">
      <c r="A70">
        <v>85</v>
      </c>
      <c r="B70">
        <v>66</v>
      </c>
      <c r="C70">
        <f t="shared" ref="C70:C95" si="10">(1/(1+$C$2))^B70</f>
        <v>3.9949032086639732E-2</v>
      </c>
      <c r="D70">
        <f t="shared" ref="D70:D95" si="11">C70^2</f>
        <v>1.595925164659371E-3</v>
      </c>
      <c r="E70">
        <v>0.12389</v>
      </c>
      <c r="F70">
        <f t="shared" si="8"/>
        <v>0.87610999999999994</v>
      </c>
      <c r="G70" s="34">
        <f t="shared" si="6"/>
        <v>0.21482461613025661</v>
      </c>
      <c r="H70" s="34"/>
      <c r="I70" s="67">
        <v>769.59080420001158</v>
      </c>
      <c r="J70" s="70">
        <f>'Part 7 - Pure Endowment'!I70</f>
        <v>0.26652717940309467</v>
      </c>
      <c r="L70">
        <v>85</v>
      </c>
      <c r="M70" s="38">
        <f t="shared" ref="M70:M95" si="12">I70-I90*J70/1000</f>
        <v>769.34559719350204</v>
      </c>
      <c r="N70" s="22">
        <f t="shared" si="9"/>
        <v>498.48841370159948</v>
      </c>
      <c r="O70" s="23">
        <f t="shared" ref="O70:O95" si="13">(1-EXP(-0.04))/((1-EXP(-0.04))+0.05)*1000*(1-((1/1.05)*EXP(-0.04))^20)</f>
        <v>365.09529295872125</v>
      </c>
    </row>
    <row r="71" spans="1:15" x14ac:dyDescent="0.2">
      <c r="A71">
        <v>86</v>
      </c>
      <c r="B71">
        <v>67</v>
      </c>
      <c r="C71">
        <f t="shared" si="10"/>
        <v>3.804669722537117E-2</v>
      </c>
      <c r="D71">
        <f t="shared" si="11"/>
        <v>1.4475511697590662E-3</v>
      </c>
      <c r="E71">
        <v>0.13494</v>
      </c>
      <c r="F71">
        <f t="shared" si="8"/>
        <v>0.86505999999999994</v>
      </c>
      <c r="G71" s="34">
        <f t="shared" ref="G71:G95" si="14">F71*G70</f>
        <v>0.18583618242963976</v>
      </c>
      <c r="H71" s="34"/>
      <c r="I71" s="67">
        <v>780.92972847018325</v>
      </c>
      <c r="J71" s="70">
        <f>'Part 7 - Pure Endowment'!I71</f>
        <v>0.13255020184420044</v>
      </c>
      <c r="L71">
        <v>86</v>
      </c>
      <c r="M71" s="38">
        <f t="shared" si="12"/>
        <v>780.80751923302171</v>
      </c>
      <c r="N71" s="22">
        <f t="shared" si="9"/>
        <v>519.25876427249943</v>
      </c>
      <c r="O71" s="23">
        <f t="shared" si="13"/>
        <v>365.09529295872125</v>
      </c>
    </row>
    <row r="72" spans="1:15" x14ac:dyDescent="0.2">
      <c r="A72">
        <v>87</v>
      </c>
      <c r="B72">
        <v>68</v>
      </c>
      <c r="C72">
        <f t="shared" si="10"/>
        <v>3.6234949738448735E-2</v>
      </c>
      <c r="D72">
        <f t="shared" si="11"/>
        <v>1.312971582547906E-3</v>
      </c>
      <c r="E72">
        <v>0.14688999999999999</v>
      </c>
      <c r="F72">
        <f t="shared" si="8"/>
        <v>0.85311000000000003</v>
      </c>
      <c r="G72" s="34">
        <f t="shared" si="14"/>
        <v>0.15853870559254998</v>
      </c>
      <c r="H72" s="34"/>
      <c r="I72" s="67">
        <v>791.89445228503484</v>
      </c>
      <c r="J72" s="70">
        <f>'Part 7 - Pure Endowment'!I72</f>
        <v>6.1623141372485243E-2</v>
      </c>
      <c r="L72">
        <v>87</v>
      </c>
      <c r="M72" s="38">
        <f t="shared" si="12"/>
        <v>791.83771955915324</v>
      </c>
      <c r="N72" s="22">
        <f t="shared" si="9"/>
        <v>541.83523228434728</v>
      </c>
      <c r="O72" s="23">
        <f t="shared" si="13"/>
        <v>365.09529295872125</v>
      </c>
    </row>
    <row r="73" spans="1:15" x14ac:dyDescent="0.2">
      <c r="A73">
        <v>88</v>
      </c>
      <c r="B73">
        <v>69</v>
      </c>
      <c r="C73">
        <f t="shared" si="10"/>
        <v>3.4509475941379743E-2</v>
      </c>
      <c r="D73">
        <f t="shared" si="11"/>
        <v>1.1909039297486673E-3</v>
      </c>
      <c r="E73">
        <v>0.15981000000000001</v>
      </c>
      <c r="F73">
        <f t="shared" si="8"/>
        <v>0.84018999999999999</v>
      </c>
      <c r="G73" s="34">
        <f t="shared" si="14"/>
        <v>0.13320263505180457</v>
      </c>
      <c r="H73" s="34"/>
      <c r="I73" s="67">
        <v>802.47468075545555</v>
      </c>
      <c r="J73" s="70">
        <f>'Part 7 - Pure Endowment'!I73</f>
        <v>2.6607940776650917E-2</v>
      </c>
      <c r="L73">
        <v>88</v>
      </c>
      <c r="M73" s="38">
        <f t="shared" si="12"/>
        <v>802.45048021723755</v>
      </c>
      <c r="N73" s="22">
        <f t="shared" si="9"/>
        <v>566.46410647909033</v>
      </c>
      <c r="O73" s="23">
        <f t="shared" si="13"/>
        <v>365.09529295872125</v>
      </c>
    </row>
    <row r="74" spans="1:15" x14ac:dyDescent="0.2">
      <c r="A74">
        <v>89</v>
      </c>
      <c r="B74">
        <v>70</v>
      </c>
      <c r="C74">
        <f t="shared" si="10"/>
        <v>3.2866167563218807E-2</v>
      </c>
      <c r="D74">
        <f t="shared" si="11"/>
        <v>1.080184970293576E-3</v>
      </c>
      <c r="E74">
        <v>0.17374999999999999</v>
      </c>
      <c r="F74">
        <f t="shared" si="8"/>
        <v>0.82625000000000004</v>
      </c>
      <c r="G74" s="34">
        <f t="shared" si="14"/>
        <v>0.11005867721155353</v>
      </c>
      <c r="H74" s="34"/>
      <c r="I74" s="67">
        <v>812.65953509709539</v>
      </c>
      <c r="J74" s="70">
        <f>'Part 7 - Pure Endowment'!I74</f>
        <v>1.0594849482651023E-2</v>
      </c>
      <c r="L74">
        <v>89</v>
      </c>
      <c r="M74" s="38">
        <f t="shared" si="12"/>
        <v>812.65036537246283</v>
      </c>
      <c r="N74" s="22">
        <f t="shared" si="9"/>
        <v>593.43858773999932</v>
      </c>
      <c r="O74" s="23">
        <f t="shared" si="13"/>
        <v>365.09529295872125</v>
      </c>
    </row>
    <row r="75" spans="1:15" x14ac:dyDescent="0.2">
      <c r="A75">
        <v>90</v>
      </c>
      <c r="B75">
        <v>71</v>
      </c>
      <c r="C75">
        <f t="shared" si="10"/>
        <v>3.1301111964970284E-2</v>
      </c>
      <c r="D75">
        <f t="shared" si="11"/>
        <v>9.7975961024360583E-4</v>
      </c>
      <c r="E75">
        <v>0.18877000000000002</v>
      </c>
      <c r="F75">
        <f t="shared" si="8"/>
        <v>0.81123000000000001</v>
      </c>
      <c r="G75" s="34">
        <f t="shared" si="14"/>
        <v>8.9282900714328567E-2</v>
      </c>
      <c r="H75" s="34"/>
      <c r="I75" s="67">
        <v>822.44176926105888</v>
      </c>
      <c r="J75" s="70">
        <f>'Part 7 - Pure Endowment'!I75</f>
        <v>3.8613337666695336E-3</v>
      </c>
      <c r="L75">
        <v>90</v>
      </c>
      <c r="M75" s="38">
        <f t="shared" si="12"/>
        <v>822.43907783787427</v>
      </c>
      <c r="N75" s="22">
        <f t="shared" si="9"/>
        <v>623.1105171269993</v>
      </c>
      <c r="O75" s="23">
        <f t="shared" si="13"/>
        <v>365.09529295872125</v>
      </c>
    </row>
    <row r="76" spans="1:15" x14ac:dyDescent="0.2">
      <c r="A76">
        <v>91</v>
      </c>
      <c r="B76">
        <v>72</v>
      </c>
      <c r="C76">
        <f t="shared" si="10"/>
        <v>2.9810582823781222E-2</v>
      </c>
      <c r="D76">
        <f t="shared" si="11"/>
        <v>8.8867084829352E-4</v>
      </c>
      <c r="E76">
        <v>0.20493</v>
      </c>
      <c r="F76">
        <f t="shared" si="8"/>
        <v>0.79506999999999994</v>
      </c>
      <c r="G76" s="34">
        <f t="shared" si="14"/>
        <v>7.0986155870941203E-2</v>
      </c>
      <c r="H76" s="34"/>
      <c r="I76" s="67">
        <v>831.81570913811322</v>
      </c>
      <c r="J76" s="70">
        <f>'Part 7 - Pure Endowment'!I76</f>
        <v>1.2762587957263678E-3</v>
      </c>
      <c r="L76">
        <v>91</v>
      </c>
      <c r="M76" s="38">
        <f t="shared" si="12"/>
        <v>831.81570913811322</v>
      </c>
      <c r="N76" s="22">
        <f t="shared" si="9"/>
        <v>655.90580750210461</v>
      </c>
      <c r="O76" s="23">
        <f t="shared" si="13"/>
        <v>365.09529295872125</v>
      </c>
    </row>
    <row r="77" spans="1:15" x14ac:dyDescent="0.2">
      <c r="A77">
        <v>92</v>
      </c>
      <c r="B77">
        <v>73</v>
      </c>
      <c r="C77">
        <f t="shared" si="10"/>
        <v>2.8391031260744024E-2</v>
      </c>
      <c r="D77">
        <f t="shared" si="11"/>
        <v>8.0605065604854437E-4</v>
      </c>
      <c r="E77">
        <v>0.22227000000000002</v>
      </c>
      <c r="F77">
        <f t="shared" si="8"/>
        <v>0.77773000000000003</v>
      </c>
      <c r="G77" s="34">
        <f t="shared" si="14"/>
        <v>5.5208063005507103E-2</v>
      </c>
      <c r="H77" s="34"/>
      <c r="I77" s="67">
        <v>840.77690592654642</v>
      </c>
      <c r="J77" s="70">
        <f>'Part 7 - Pure Endowment'!I77</f>
        <v>1.6052156360149025E-3</v>
      </c>
      <c r="L77">
        <v>92</v>
      </c>
      <c r="M77" s="38">
        <f t="shared" si="12"/>
        <v>840.77690592654642</v>
      </c>
      <c r="N77" s="22">
        <f t="shared" si="9"/>
        <v>692.34501902999921</v>
      </c>
      <c r="O77" s="23">
        <f t="shared" si="13"/>
        <v>365.09529295872125</v>
      </c>
    </row>
    <row r="78" spans="1:15" x14ac:dyDescent="0.2">
      <c r="A78">
        <v>93</v>
      </c>
      <c r="B78">
        <v>74</v>
      </c>
      <c r="C78">
        <f t="shared" si="10"/>
        <v>2.7039077391184781E-2</v>
      </c>
      <c r="D78">
        <f t="shared" si="11"/>
        <v>7.3111170616648E-4</v>
      </c>
      <c r="E78">
        <v>0.24086000000000002</v>
      </c>
      <c r="F78">
        <f t="shared" si="8"/>
        <v>0.75913999999999993</v>
      </c>
      <c r="G78" s="34">
        <f t="shared" si="14"/>
        <v>4.1910648950000656E-2</v>
      </c>
      <c r="H78" s="34"/>
      <c r="I78" s="67">
        <v>849.32528155384739</v>
      </c>
      <c r="J78" s="70">
        <f>'Part 7 - Pure Endowment'!I78</f>
        <v>2.0639754619403939E-3</v>
      </c>
      <c r="L78">
        <v>93</v>
      </c>
      <c r="M78" s="38">
        <f t="shared" si="12"/>
        <v>849.32528155384739</v>
      </c>
      <c r="N78" s="22">
        <f t="shared" si="9"/>
        <v>733.07119661999923</v>
      </c>
      <c r="O78" s="23">
        <f t="shared" si="13"/>
        <v>365.09529295872125</v>
      </c>
    </row>
    <row r="79" spans="1:15" x14ac:dyDescent="0.2">
      <c r="A79">
        <v>94</v>
      </c>
      <c r="B79">
        <v>75</v>
      </c>
      <c r="C79">
        <f t="shared" si="10"/>
        <v>2.5751502277318841E-2</v>
      </c>
      <c r="D79">
        <f t="shared" si="11"/>
        <v>6.6313986953875738E-4</v>
      </c>
      <c r="E79">
        <v>0.26073000000000002</v>
      </c>
      <c r="F79">
        <f t="shared" si="8"/>
        <v>0.73926999999999998</v>
      </c>
      <c r="G79" s="34">
        <f t="shared" si="14"/>
        <v>3.0983285449266984E-2</v>
      </c>
      <c r="H79" s="34"/>
      <c r="I79" s="67">
        <v>857.45915856303088</v>
      </c>
      <c r="J79" s="70">
        <f>'Part 7 - Pure Endowment'!I79</f>
        <v>2.7188337618099354E-3</v>
      </c>
      <c r="L79">
        <v>94</v>
      </c>
      <c r="M79" s="38">
        <f t="shared" si="12"/>
        <v>857.45915856303088</v>
      </c>
      <c r="N79" s="22">
        <f t="shared" si="9"/>
        <v>778.88814640874909</v>
      </c>
      <c r="O79" s="23">
        <f t="shared" si="13"/>
        <v>365.09529295872125</v>
      </c>
    </row>
    <row r="80" spans="1:15" x14ac:dyDescent="0.2">
      <c r="A80">
        <v>95</v>
      </c>
      <c r="B80">
        <v>76</v>
      </c>
      <c r="C80">
        <f t="shared" si="10"/>
        <v>2.4525240264113179E-2</v>
      </c>
      <c r="D80">
        <f t="shared" si="11"/>
        <v>6.0148741001247834E-4</v>
      </c>
      <c r="E80">
        <v>0.28191000000000005</v>
      </c>
      <c r="F80">
        <f t="shared" si="8"/>
        <v>0.7180899999999999</v>
      </c>
      <c r="G80" s="34">
        <f t="shared" si="14"/>
        <v>2.2248787448264126E-2</v>
      </c>
      <c r="H80" s="34"/>
      <c r="I80" s="67">
        <v>865.18067349031196</v>
      </c>
      <c r="J80" s="70">
        <f>'Part 7 - Pure Endowment'!I80</f>
        <v>3.6777277068052736E-3</v>
      </c>
      <c r="L80">
        <v>95</v>
      </c>
      <c r="M80" s="38">
        <f t="shared" si="12"/>
        <v>865.18067349031196</v>
      </c>
      <c r="N80" s="22">
        <f t="shared" si="9"/>
        <v>830.81402283599914</v>
      </c>
      <c r="O80" s="23">
        <f t="shared" si="13"/>
        <v>365.09529295872125</v>
      </c>
    </row>
    <row r="81" spans="1:15" x14ac:dyDescent="0.2">
      <c r="A81">
        <v>96</v>
      </c>
      <c r="B81">
        <v>77</v>
      </c>
      <c r="C81">
        <f t="shared" si="10"/>
        <v>2.3357371680107788E-2</v>
      </c>
      <c r="D81">
        <f t="shared" si="11"/>
        <v>5.4556681180270127E-4</v>
      </c>
      <c r="E81">
        <v>0.30445</v>
      </c>
      <c r="F81">
        <f t="shared" si="8"/>
        <v>0.69555</v>
      </c>
      <c r="G81" s="34">
        <f t="shared" si="14"/>
        <v>1.5475144109640113E-2</v>
      </c>
      <c r="H81" s="34"/>
      <c r="I81" s="67">
        <v>872.49468334725111</v>
      </c>
      <c r="J81" s="70">
        <f>'Part 7 - Pure Endowment'!I81</f>
        <v>5.1215414597129512E-3</v>
      </c>
      <c r="L81">
        <v>96</v>
      </c>
      <c r="M81" s="38">
        <f t="shared" si="12"/>
        <v>872.49468334725111</v>
      </c>
      <c r="N81" s="22">
        <f t="shared" si="9"/>
        <v>890.15788160999898</v>
      </c>
      <c r="O81" s="23">
        <f t="shared" si="13"/>
        <v>365.09529295872125</v>
      </c>
    </row>
    <row r="82" spans="1:15" x14ac:dyDescent="0.2">
      <c r="A82">
        <v>97</v>
      </c>
      <c r="B82">
        <v>78</v>
      </c>
      <c r="C82">
        <f t="shared" si="10"/>
        <v>2.224511588581694E-2</v>
      </c>
      <c r="D82">
        <f t="shared" si="11"/>
        <v>4.9484518077342514E-4</v>
      </c>
      <c r="E82">
        <v>0.32833999999999997</v>
      </c>
      <c r="F82">
        <f t="shared" si="8"/>
        <v>0.67166000000000003</v>
      </c>
      <c r="G82" s="34">
        <f t="shared" si="14"/>
        <v>1.0394035292680879E-2</v>
      </c>
      <c r="H82" s="34"/>
      <c r="I82" s="67">
        <v>879.40395013243256</v>
      </c>
      <c r="J82" s="70">
        <f>'Part 7 - Pure Endowment'!I82</f>
        <v>7.3632973326331012E-3</v>
      </c>
      <c r="L82">
        <v>97</v>
      </c>
      <c r="M82" s="38">
        <f t="shared" si="12"/>
        <v>879.40395013243256</v>
      </c>
      <c r="N82" s="22">
        <f t="shared" si="9"/>
        <v>958.63156481076817</v>
      </c>
      <c r="O82" s="23">
        <f t="shared" si="13"/>
        <v>365.09529295872125</v>
      </c>
    </row>
    <row r="83" spans="1:15" x14ac:dyDescent="0.2">
      <c r="A83">
        <v>98</v>
      </c>
      <c r="B83">
        <v>79</v>
      </c>
      <c r="C83">
        <f t="shared" si="10"/>
        <v>2.1185824653158991E-2</v>
      </c>
      <c r="D83">
        <f t="shared" si="11"/>
        <v>4.4883916623439927E-4</v>
      </c>
      <c r="E83">
        <v>0.35360000000000003</v>
      </c>
      <c r="F83">
        <f t="shared" si="8"/>
        <v>0.64639999999999997</v>
      </c>
      <c r="G83" s="34">
        <f t="shared" si="14"/>
        <v>6.7187044131889195E-3</v>
      </c>
      <c r="H83" s="34"/>
      <c r="I83" s="67">
        <v>885.91571276993432</v>
      </c>
      <c r="J83" s="70">
        <f>'Part 7 - Pure Endowment'!I83</f>
        <v>1.0962834369521932E-2</v>
      </c>
      <c r="L83">
        <v>98</v>
      </c>
      <c r="M83" s="38">
        <f t="shared" si="12"/>
        <v>885.91571276993432</v>
      </c>
      <c r="N83" s="22">
        <f t="shared" si="9"/>
        <v>1038.5175285449989</v>
      </c>
      <c r="O83" s="23">
        <f t="shared" si="13"/>
        <v>365.09529295872125</v>
      </c>
    </row>
    <row r="84" spans="1:15" x14ac:dyDescent="0.2">
      <c r="A84">
        <v>99</v>
      </c>
      <c r="B84">
        <v>80</v>
      </c>
      <c r="C84">
        <f t="shared" si="10"/>
        <v>2.0176975860151419E-2</v>
      </c>
      <c r="D84">
        <f t="shared" si="11"/>
        <v>4.0711035486113307E-4</v>
      </c>
      <c r="E84">
        <v>0.38019999999999998</v>
      </c>
      <c r="F84">
        <f t="shared" si="8"/>
        <v>0.61980000000000002</v>
      </c>
      <c r="G84" s="34">
        <f t="shared" si="14"/>
        <v>4.164252995294492E-3</v>
      </c>
      <c r="H84" s="34"/>
      <c r="I84" s="67">
        <v>892.03511511205295</v>
      </c>
      <c r="J84" s="70">
        <f>'Part 7 - Pure Endowment'!I84</f>
        <v>1.695983039839407E-2</v>
      </c>
      <c r="L84">
        <v>99</v>
      </c>
      <c r="M84" s="38">
        <f t="shared" si="12"/>
        <v>892.03511511205295</v>
      </c>
      <c r="N84" s="22">
        <f t="shared" si="9"/>
        <v>1132.9282129581807</v>
      </c>
      <c r="O84" s="23">
        <f t="shared" si="13"/>
        <v>365.09529295872125</v>
      </c>
    </row>
    <row r="85" spans="1:15" x14ac:dyDescent="0.2">
      <c r="A85">
        <v>100</v>
      </c>
      <c r="B85">
        <v>81</v>
      </c>
      <c r="C85">
        <f t="shared" si="10"/>
        <v>1.9216167485858495E-2</v>
      </c>
      <c r="D85">
        <f t="shared" si="11"/>
        <v>3.6926109284456522E-4</v>
      </c>
      <c r="E85">
        <v>0.40811999999999998</v>
      </c>
      <c r="F85">
        <f t="shared" si="8"/>
        <v>0.59187999999999996</v>
      </c>
      <c r="G85" s="34">
        <f t="shared" si="14"/>
        <v>2.4647380628549037E-3</v>
      </c>
      <c r="H85" s="34"/>
      <c r="I85" s="67">
        <v>897.76842669837959</v>
      </c>
      <c r="J85" s="70">
        <f>'Part 7 - Pure Endowment'!I85</f>
        <v>2.7363392059364441E-2</v>
      </c>
      <c r="L85">
        <v>100</v>
      </c>
      <c r="M85" s="38">
        <f t="shared" si="12"/>
        <v>897.76842669837959</v>
      </c>
      <c r="N85" s="22">
        <f t="shared" si="9"/>
        <v>1246.2210342539986</v>
      </c>
      <c r="O85" s="23">
        <f t="shared" si="13"/>
        <v>365.09529295872125</v>
      </c>
    </row>
    <row r="86" spans="1:15" x14ac:dyDescent="0.2">
      <c r="A86">
        <v>101</v>
      </c>
      <c r="B86">
        <v>82</v>
      </c>
      <c r="C86">
        <f t="shared" si="10"/>
        <v>1.8301111891293805E-2</v>
      </c>
      <c r="D86">
        <f t="shared" si="11"/>
        <v>3.3493069645765548E-4</v>
      </c>
      <c r="E86">
        <v>0.43727999999999995</v>
      </c>
      <c r="F86">
        <f t="shared" si="8"/>
        <v>0.56272000000000011</v>
      </c>
      <c r="G86" s="34">
        <f t="shared" si="14"/>
        <v>1.3869574027297116E-3</v>
      </c>
      <c r="H86" s="34"/>
      <c r="I86" s="67">
        <v>903.11692916351035</v>
      </c>
      <c r="J86" s="70">
        <f>'Part 7 - Pure Endowment'!I86</f>
        <v>4.6231317259181649E-2</v>
      </c>
      <c r="L86">
        <v>101</v>
      </c>
      <c r="M86" s="38">
        <f t="shared" si="12"/>
        <v>903.11692916351035</v>
      </c>
      <c r="N86" s="22">
        <f t="shared" si="9"/>
        <v>1384.6900380599984</v>
      </c>
      <c r="O86" s="23">
        <f t="shared" si="13"/>
        <v>365.09529295872125</v>
      </c>
    </row>
    <row r="87" spans="1:15" x14ac:dyDescent="0.2">
      <c r="A87">
        <v>102</v>
      </c>
      <c r="B87">
        <v>83</v>
      </c>
      <c r="C87">
        <f t="shared" si="10"/>
        <v>1.7429630372660765E-2</v>
      </c>
      <c r="D87">
        <f t="shared" si="11"/>
        <v>3.0379201492757864E-4</v>
      </c>
      <c r="E87">
        <v>0.46761000000000003</v>
      </c>
      <c r="F87">
        <f t="shared" si="8"/>
        <v>0.53238999999999992</v>
      </c>
      <c r="G87" s="34">
        <f t="shared" si="14"/>
        <v>7.3840225163927103E-4</v>
      </c>
      <c r="H87" s="34"/>
      <c r="I87" s="67">
        <v>908.07644231889026</v>
      </c>
      <c r="J87" s="70">
        <f>'Part 7 - Pure Endowment'!I87</f>
        <v>8.2156875993712034E-2</v>
      </c>
      <c r="L87">
        <v>102</v>
      </c>
      <c r="M87" s="38">
        <f t="shared" si="12"/>
        <v>908.07644231889026</v>
      </c>
      <c r="N87" s="22">
        <f t="shared" si="9"/>
        <v>1557.7762928174982</v>
      </c>
      <c r="O87" s="23">
        <f t="shared" si="13"/>
        <v>365.09529295872125</v>
      </c>
    </row>
    <row r="88" spans="1:15" x14ac:dyDescent="0.2">
      <c r="A88">
        <v>103</v>
      </c>
      <c r="B88">
        <v>84</v>
      </c>
      <c r="C88">
        <f t="shared" si="10"/>
        <v>1.6599647973962631E-2</v>
      </c>
      <c r="D88">
        <f t="shared" si="11"/>
        <v>2.7554831285948167E-4</v>
      </c>
      <c r="E88">
        <v>0.49898999999999999</v>
      </c>
      <c r="F88">
        <f t="shared" si="8"/>
        <v>0.50100999999999996</v>
      </c>
      <c r="G88" s="34">
        <f t="shared" si="14"/>
        <v>3.6994691209379113E-4</v>
      </c>
      <c r="H88" s="34"/>
      <c r="I88" s="67">
        <v>912.62094411021019</v>
      </c>
      <c r="J88" s="70">
        <f>'Part 7 - Pure Endowment'!I88</f>
        <v>0.15431709084263803</v>
      </c>
      <c r="L88">
        <v>103</v>
      </c>
      <c r="M88" s="38">
        <f t="shared" si="12"/>
        <v>912.62094411021019</v>
      </c>
      <c r="N88" s="22">
        <f t="shared" si="9"/>
        <v>1780.315763219998</v>
      </c>
      <c r="O88" s="23">
        <f t="shared" si="13"/>
        <v>365.09529295872125</v>
      </c>
    </row>
    <row r="89" spans="1:15" x14ac:dyDescent="0.2">
      <c r="A89">
        <v>104</v>
      </c>
      <c r="B89">
        <v>85</v>
      </c>
      <c r="C89">
        <f t="shared" si="10"/>
        <v>1.5809188546631076E-2</v>
      </c>
      <c r="D89">
        <f t="shared" si="11"/>
        <v>2.499304425029312E-4</v>
      </c>
      <c r="E89">
        <v>0.53127999999999997</v>
      </c>
      <c r="F89">
        <f t="shared" si="8"/>
        <v>0.46872000000000003</v>
      </c>
      <c r="G89" s="34">
        <f t="shared" si="14"/>
        <v>1.734015166366018E-4</v>
      </c>
      <c r="H89" s="34"/>
      <c r="I89" s="67">
        <v>916.67230457619792</v>
      </c>
      <c r="J89" s="70">
        <f>'Part 7 - Pure Endowment'!I89</f>
        <v>0.30801199745042618</v>
      </c>
      <c r="L89">
        <v>104</v>
      </c>
      <c r="M89" s="38">
        <f t="shared" si="12"/>
        <v>916.67230457619792</v>
      </c>
      <c r="N89" s="22">
        <f t="shared" si="9"/>
        <v>2077.0350570899977</v>
      </c>
      <c r="O89" s="23">
        <f t="shared" si="13"/>
        <v>365.09529295872125</v>
      </c>
    </row>
    <row r="90" spans="1:15" x14ac:dyDescent="0.2">
      <c r="A90">
        <v>105</v>
      </c>
      <c r="B90">
        <v>86</v>
      </c>
      <c r="C90">
        <f t="shared" si="10"/>
        <v>1.5056370044410549E-2</v>
      </c>
      <c r="D90">
        <f t="shared" si="11"/>
        <v>2.2669427891422334E-4</v>
      </c>
      <c r="E90">
        <v>0.56428999999999996</v>
      </c>
      <c r="F90">
        <f t="shared" si="8"/>
        <v>0.43571000000000004</v>
      </c>
      <c r="G90" s="34">
        <f t="shared" si="14"/>
        <v>7.5552774813733773E-5</v>
      </c>
      <c r="H90" s="34"/>
      <c r="I90" s="67">
        <v>920.00750939795182</v>
      </c>
      <c r="J90" s="70">
        <f>'Part 7 - Pure Endowment'!I90</f>
        <v>0.65713431782391674</v>
      </c>
      <c r="L90">
        <v>105</v>
      </c>
      <c r="M90" s="38">
        <f t="shared" si="12"/>
        <v>920.00750939795182</v>
      </c>
      <c r="N90" s="22">
        <f t="shared" si="9"/>
        <v>2492.4420685079972</v>
      </c>
      <c r="O90" s="23">
        <f t="shared" si="13"/>
        <v>365.09529295872125</v>
      </c>
    </row>
    <row r="91" spans="1:15" x14ac:dyDescent="0.2">
      <c r="A91">
        <v>106</v>
      </c>
      <c r="B91">
        <v>87</v>
      </c>
      <c r="C91">
        <f t="shared" si="10"/>
        <v>1.4339400042295759E-2</v>
      </c>
      <c r="D91">
        <f t="shared" si="11"/>
        <v>2.0561839357299163E-4</v>
      </c>
      <c r="E91">
        <v>0.59783000000000008</v>
      </c>
      <c r="F91">
        <f t="shared" si="8"/>
        <v>0.40216999999999992</v>
      </c>
      <c r="G91" s="34">
        <f t="shared" si="14"/>
        <v>3.0385059446839305E-5</v>
      </c>
      <c r="H91" s="34"/>
      <c r="I91" s="67">
        <v>921.9845421676099</v>
      </c>
      <c r="J91" s="70">
        <f>'Part 7 - Pure Endowment'!I91</f>
        <v>1.5081919575495548</v>
      </c>
      <c r="L91">
        <v>106</v>
      </c>
      <c r="M91" s="38">
        <f t="shared" si="12"/>
        <v>921.9845421676099</v>
      </c>
      <c r="N91" s="22">
        <f t="shared" si="9"/>
        <v>3115.5525856349964</v>
      </c>
      <c r="O91" s="23">
        <f t="shared" si="13"/>
        <v>365.09529295872125</v>
      </c>
    </row>
    <row r="92" spans="1:15" x14ac:dyDescent="0.2">
      <c r="A92">
        <v>107</v>
      </c>
      <c r="B92">
        <v>88</v>
      </c>
      <c r="C92">
        <f t="shared" si="10"/>
        <v>1.3656571468853105E-2</v>
      </c>
      <c r="D92">
        <f t="shared" si="11"/>
        <v>1.8650194428389266E-4</v>
      </c>
      <c r="E92">
        <v>0.63163999999999998</v>
      </c>
      <c r="F92">
        <f t="shared" si="8"/>
        <v>0.36836000000000002</v>
      </c>
      <c r="G92" s="34">
        <f t="shared" si="14"/>
        <v>1.1192640497837727E-5</v>
      </c>
      <c r="H92" s="34"/>
      <c r="I92" s="67">
        <v>920.6399514533415</v>
      </c>
      <c r="J92" s="70">
        <f>'Part 7 - Pure Endowment'!I92</f>
        <v>3.7501354092785522</v>
      </c>
      <c r="L92">
        <v>107</v>
      </c>
      <c r="M92" s="38">
        <f t="shared" si="12"/>
        <v>920.6399514533415</v>
      </c>
      <c r="N92" s="22">
        <f t="shared" si="9"/>
        <v>4154.0701141799955</v>
      </c>
      <c r="O92" s="23">
        <f t="shared" si="13"/>
        <v>365.09529295872125</v>
      </c>
    </row>
    <row r="93" spans="1:15" x14ac:dyDescent="0.2">
      <c r="A93">
        <v>108</v>
      </c>
      <c r="B93">
        <v>89</v>
      </c>
      <c r="C93">
        <f t="shared" si="10"/>
        <v>1.3006258541764862E-2</v>
      </c>
      <c r="D93">
        <f t="shared" si="11"/>
        <v>1.6916276125523142E-4</v>
      </c>
      <c r="E93">
        <v>0.6654500000000001</v>
      </c>
      <c r="F93">
        <f t="shared" si="8"/>
        <v>0.3345499999999999</v>
      </c>
      <c r="G93" s="34">
        <f t="shared" si="14"/>
        <v>3.7444978785516108E-6</v>
      </c>
      <c r="H93" s="34"/>
      <c r="I93" s="67">
        <v>909.52315405040918</v>
      </c>
      <c r="J93" s="70">
        <f>'Part 7 - Pure Endowment'!I93</f>
        <v>10.180626043214659</v>
      </c>
      <c r="L93">
        <v>108</v>
      </c>
      <c r="M93" s="38">
        <f t="shared" si="12"/>
        <v>909.52315405040918</v>
      </c>
      <c r="N93" s="22">
        <f t="shared" si="9"/>
        <v>6231.1051712699928</v>
      </c>
      <c r="O93" s="23">
        <f t="shared" si="13"/>
        <v>365.09529295872125</v>
      </c>
    </row>
    <row r="94" spans="1:15" x14ac:dyDescent="0.2">
      <c r="A94">
        <v>109</v>
      </c>
      <c r="B94">
        <v>90</v>
      </c>
      <c r="C94">
        <f t="shared" si="10"/>
        <v>1.2386912896918914E-2</v>
      </c>
      <c r="D94">
        <f t="shared" si="11"/>
        <v>1.5343561111585613E-4</v>
      </c>
      <c r="E94">
        <v>0.69886999999999999</v>
      </c>
      <c r="F94">
        <f t="shared" si="8"/>
        <v>0.30113000000000001</v>
      </c>
      <c r="G94" s="34">
        <f t="shared" si="14"/>
        <v>1.1275806461682465E-6</v>
      </c>
      <c r="H94" s="34"/>
      <c r="I94" s="67">
        <v>865.48890077097496</v>
      </c>
      <c r="J94" s="70">
        <f>'Part 7 - Pure Endowment'!I94</f>
        <v>30.430805688879573</v>
      </c>
      <c r="L94">
        <v>109</v>
      </c>
      <c r="M94" s="38">
        <f t="shared" si="12"/>
        <v>865.48890077097496</v>
      </c>
      <c r="N94" s="22">
        <f t="shared" si="9"/>
        <v>12462.210342539986</v>
      </c>
      <c r="O94" s="23">
        <f t="shared" si="13"/>
        <v>365.09529295872125</v>
      </c>
    </row>
    <row r="95" spans="1:15" x14ac:dyDescent="0.2">
      <c r="A95">
        <v>110</v>
      </c>
      <c r="B95">
        <v>91</v>
      </c>
      <c r="C95">
        <f t="shared" si="10"/>
        <v>1.1797059901827537E-2</v>
      </c>
      <c r="D95">
        <f t="shared" si="11"/>
        <v>1.3917062232730713E-4</v>
      </c>
      <c r="E95">
        <v>0.73187000000000002</v>
      </c>
      <c r="F95">
        <f t="shared" si="8"/>
        <v>0.26812999999999998</v>
      </c>
      <c r="G95" s="34">
        <f t="shared" si="14"/>
        <v>3.0233819865709192E-7</v>
      </c>
      <c r="H95" s="34"/>
      <c r="I95" s="68">
        <v>697.01904761904768</v>
      </c>
      <c r="J95" s="71">
        <f>'Part 7 - Pure Endowment'!I95</f>
        <v>101.0553770427376</v>
      </c>
      <c r="L95">
        <v>110</v>
      </c>
      <c r="M95" s="38">
        <f t="shared" si="12"/>
        <v>697.01904761904768</v>
      </c>
      <c r="N95" s="25" t="e">
        <f t="shared" si="9"/>
        <v>#DIV/0!</v>
      </c>
      <c r="O95" s="26">
        <f t="shared" si="13"/>
        <v>365.09529295872125</v>
      </c>
    </row>
    <row r="96" spans="1:15" x14ac:dyDescent="0.2">
      <c r="E96">
        <v>5.2631578947368418E-2</v>
      </c>
    </row>
    <row r="97" spans="5:5" x14ac:dyDescent="0.2">
      <c r="E97">
        <v>5.5555555555555552E-2</v>
      </c>
    </row>
    <row r="98" spans="5:5" x14ac:dyDescent="0.2">
      <c r="E98">
        <v>5.8823529411764705E-2</v>
      </c>
    </row>
    <row r="99" spans="5:5" x14ac:dyDescent="0.2">
      <c r="E99">
        <v>6.25E-2</v>
      </c>
    </row>
    <row r="100" spans="5:5" x14ac:dyDescent="0.2">
      <c r="E100">
        <v>6.6666666666666666E-2</v>
      </c>
    </row>
    <row r="101" spans="5:5" x14ac:dyDescent="0.2">
      <c r="E101">
        <v>7.1428571428571425E-2</v>
      </c>
    </row>
    <row r="102" spans="5:5" x14ac:dyDescent="0.2">
      <c r="E102">
        <v>7.6923076923076927E-2</v>
      </c>
    </row>
    <row r="103" spans="5:5" x14ac:dyDescent="0.2">
      <c r="E103">
        <v>8.3333333333333329E-2</v>
      </c>
    </row>
    <row r="104" spans="5:5" x14ac:dyDescent="0.2">
      <c r="E104">
        <v>9.0909090909090912E-2</v>
      </c>
    </row>
    <row r="105" spans="5:5" x14ac:dyDescent="0.2">
      <c r="E105">
        <v>0.1</v>
      </c>
    </row>
    <row r="106" spans="5:5" x14ac:dyDescent="0.2">
      <c r="E106">
        <v>0.1111111111111111</v>
      </c>
    </row>
    <row r="107" spans="5:5" x14ac:dyDescent="0.2">
      <c r="E107">
        <v>0.125</v>
      </c>
    </row>
    <row r="108" spans="5:5" x14ac:dyDescent="0.2">
      <c r="E108">
        <v>0.14285714285714285</v>
      </c>
    </row>
    <row r="109" spans="5:5" x14ac:dyDescent="0.2">
      <c r="E109">
        <v>0.16666666666666666</v>
      </c>
    </row>
    <row r="110" spans="5:5" x14ac:dyDescent="0.2">
      <c r="E110">
        <v>0.2</v>
      </c>
    </row>
    <row r="111" spans="5:5" x14ac:dyDescent="0.2">
      <c r="E111">
        <v>0.25</v>
      </c>
    </row>
    <row r="112" spans="5:5" x14ac:dyDescent="0.2">
      <c r="E112">
        <v>0.33333333333333331</v>
      </c>
    </row>
    <row r="113" spans="5:5" x14ac:dyDescent="0.2">
      <c r="E113">
        <v>0.5</v>
      </c>
    </row>
    <row r="114" spans="5:5" x14ac:dyDescent="0.2">
      <c r="E114">
        <v>1</v>
      </c>
    </row>
    <row r="115" spans="5:5" x14ac:dyDescent="0.2">
      <c r="E115">
        <v>1</v>
      </c>
    </row>
  </sheetData>
  <pageMargins left="0.75" right="0.75" top="1" bottom="1" header="0.5" footer="0.5"/>
  <pageSetup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P95"/>
  <sheetViews>
    <sheetView workbookViewId="0">
      <selection activeCell="I22" sqref="I22"/>
    </sheetView>
  </sheetViews>
  <sheetFormatPr baseColWidth="10" defaultRowHeight="16" x14ac:dyDescent="0.2"/>
  <cols>
    <col min="4" max="5" width="9.1640625" customWidth="1"/>
    <col min="6" max="8" width="12.1640625" customWidth="1"/>
    <col min="10" max="10" width="15.5" customWidth="1"/>
    <col min="11" max="11" width="15" customWidth="1"/>
    <col min="12" max="12" width="5.6640625" customWidth="1"/>
    <col min="15" max="15" width="3.1640625" customWidth="1"/>
    <col min="16" max="16" width="11.83203125" bestFit="1" customWidth="1"/>
    <col min="18" max="18" width="9.1640625" customWidth="1"/>
    <col min="19" max="20" width="12.1640625" bestFit="1" customWidth="1"/>
  </cols>
  <sheetData>
    <row r="1" spans="1:16" x14ac:dyDescent="0.2">
      <c r="C1" s="2"/>
      <c r="I1" t="s">
        <v>75</v>
      </c>
    </row>
    <row r="2" spans="1:16" x14ac:dyDescent="0.2">
      <c r="A2" t="s">
        <v>71</v>
      </c>
      <c r="B2">
        <v>0.05</v>
      </c>
      <c r="I2" t="s">
        <v>81</v>
      </c>
      <c r="J2" t="s">
        <v>82</v>
      </c>
      <c r="K2" t="s">
        <v>83</v>
      </c>
      <c r="P2">
        <v>6.2</v>
      </c>
    </row>
    <row r="3" spans="1:16" x14ac:dyDescent="0.2">
      <c r="I3" t="s">
        <v>66</v>
      </c>
      <c r="J3" t="s">
        <v>67</v>
      </c>
      <c r="K3" t="s">
        <v>36</v>
      </c>
      <c r="M3" t="s">
        <v>96</v>
      </c>
      <c r="N3" t="s">
        <v>97</v>
      </c>
      <c r="P3" t="s">
        <v>90</v>
      </c>
    </row>
    <row r="4" spans="1:16" x14ac:dyDescent="0.2">
      <c r="A4" t="s">
        <v>70</v>
      </c>
      <c r="B4" t="s">
        <v>69</v>
      </c>
      <c r="C4" t="s">
        <v>0</v>
      </c>
      <c r="D4" t="s">
        <v>9</v>
      </c>
      <c r="E4" t="s">
        <v>77</v>
      </c>
      <c r="F4" t="s">
        <v>76</v>
      </c>
      <c r="H4" t="s">
        <v>110</v>
      </c>
    </row>
    <row r="5" spans="1:16" x14ac:dyDescent="0.2">
      <c r="A5">
        <v>1</v>
      </c>
      <c r="B5">
        <f>(1/(1+$B$2))^A5</f>
        <v>0.95238095238095233</v>
      </c>
      <c r="C5">
        <v>20</v>
      </c>
      <c r="D5">
        <v>1.0300000000000001E-3</v>
      </c>
      <c r="E5">
        <f>1-D5</f>
        <v>0.99897000000000002</v>
      </c>
      <c r="F5">
        <f>PRODUCT(E5:E24)</f>
        <v>0.9683244287608771</v>
      </c>
      <c r="H5">
        <v>20</v>
      </c>
      <c r="I5" s="37">
        <f>(1/(1+$B$2))^20*F5*1000</f>
        <v>364.95129320898053</v>
      </c>
      <c r="J5" s="19">
        <f>MAX((1/(1+$B$2))^20*(110-C5-20)/(110-C5)*1000,0)</f>
        <v>293.13626445677818</v>
      </c>
      <c r="K5" s="20">
        <f>((1/(1+$B$2))*EXP(-0.04))^20*1000</f>
        <v>169.34736092600039</v>
      </c>
      <c r="M5">
        <f>(1/(1+$B$2))^20*F5</f>
        <v>0.36495129320898051</v>
      </c>
      <c r="N5">
        <f>(1/(1+$B$2))^40*F5</f>
        <v>0.1375463041713654</v>
      </c>
      <c r="P5" s="65">
        <f>1000^2*(N5-M5^2)</f>
        <v>4356.8577564581383</v>
      </c>
    </row>
    <row r="6" spans="1:16" x14ac:dyDescent="0.2">
      <c r="A6">
        <v>2</v>
      </c>
      <c r="B6">
        <f t="shared" ref="B6:B69" si="0">(1/(1+$B$2))^A6</f>
        <v>0.90702947845804982</v>
      </c>
      <c r="C6">
        <v>21</v>
      </c>
      <c r="D6">
        <v>1.06E-3</v>
      </c>
      <c r="E6">
        <f t="shared" ref="E6:E69" si="1">1-D6</f>
        <v>0.99894000000000005</v>
      </c>
      <c r="F6">
        <f t="shared" ref="F6:F69" si="2">PRODUCT(E6:E25)</f>
        <v>0.96662811380614211</v>
      </c>
      <c r="H6">
        <v>21</v>
      </c>
      <c r="I6" s="38">
        <f t="shared" ref="I6:I69" si="3">(1/(1+$B$2))^20*F6*1000</f>
        <v>364.3119699429007</v>
      </c>
      <c r="J6" s="22">
        <f t="shared" ref="J6:J69" si="4">MAX((1/(1+$B$2))^20*(110-C6-20)/(110-C6)*1000,0)</f>
        <v>292.19521705884307</v>
      </c>
      <c r="K6" s="23">
        <f t="shared" ref="K6:K69" si="5">((1/(1+$B$2))*EXP(-0.04))^20*1000</f>
        <v>169.34736092600039</v>
      </c>
    </row>
    <row r="7" spans="1:16" x14ac:dyDescent="0.2">
      <c r="A7">
        <v>3</v>
      </c>
      <c r="B7">
        <f t="shared" si="0"/>
        <v>0.86383759853147601</v>
      </c>
      <c r="C7">
        <v>22</v>
      </c>
      <c r="D7">
        <v>1.1000000000000001E-3</v>
      </c>
      <c r="E7">
        <f t="shared" si="1"/>
        <v>0.99890000000000001</v>
      </c>
      <c r="F7">
        <f t="shared" si="2"/>
        <v>0.9647702184585657</v>
      </c>
      <c r="H7">
        <v>22</v>
      </c>
      <c r="I7" s="38">
        <f t="shared" si="3"/>
        <v>363.61174872612048</v>
      </c>
      <c r="J7" s="22">
        <f t="shared" si="4"/>
        <v>291.23278222004581</v>
      </c>
      <c r="K7" s="23">
        <f t="shared" si="5"/>
        <v>169.34736092600039</v>
      </c>
    </row>
    <row r="8" spans="1:16" x14ac:dyDescent="0.2">
      <c r="A8">
        <v>4</v>
      </c>
      <c r="B8">
        <f t="shared" si="0"/>
        <v>0.82270247479188185</v>
      </c>
      <c r="C8">
        <v>23</v>
      </c>
      <c r="D8">
        <v>1.1299999999999999E-3</v>
      </c>
      <c r="E8">
        <f t="shared" si="1"/>
        <v>0.99887000000000004</v>
      </c>
      <c r="F8">
        <f t="shared" si="2"/>
        <v>0.96274196992641736</v>
      </c>
      <c r="H8">
        <v>23</v>
      </c>
      <c r="I8" s="38">
        <f t="shared" si="3"/>
        <v>362.84732318570116</v>
      </c>
      <c r="J8" s="22">
        <f t="shared" si="4"/>
        <v>290.24822244242563</v>
      </c>
      <c r="K8" s="23">
        <f t="shared" si="5"/>
        <v>169.34736092600039</v>
      </c>
    </row>
    <row r="9" spans="1:16" x14ac:dyDescent="0.2">
      <c r="A9">
        <v>5</v>
      </c>
      <c r="B9">
        <f t="shared" si="0"/>
        <v>0.78352616646845885</v>
      </c>
      <c r="C9">
        <v>24</v>
      </c>
      <c r="D9">
        <v>1.1799999999999998E-3</v>
      </c>
      <c r="E9">
        <f t="shared" si="1"/>
        <v>0.99882000000000004</v>
      </c>
      <c r="F9">
        <f t="shared" si="2"/>
        <v>0.96051552008756969</v>
      </c>
      <c r="H9">
        <v>24</v>
      </c>
      <c r="I9" s="38">
        <f t="shared" si="3"/>
        <v>362.00819765729517</v>
      </c>
      <c r="J9" s="22">
        <f t="shared" si="4"/>
        <v>289.24076592579104</v>
      </c>
      <c r="K9" s="23">
        <f t="shared" si="5"/>
        <v>169.34736092600039</v>
      </c>
    </row>
    <row r="10" spans="1:16" x14ac:dyDescent="0.2">
      <c r="A10">
        <v>6</v>
      </c>
      <c r="B10">
        <f t="shared" si="0"/>
        <v>0.7462153966366275</v>
      </c>
      <c r="C10">
        <v>25</v>
      </c>
      <c r="D10">
        <v>1.2199999999999999E-3</v>
      </c>
      <c r="E10">
        <f t="shared" si="1"/>
        <v>0.99878</v>
      </c>
      <c r="F10">
        <f t="shared" si="2"/>
        <v>0.9580825449110395</v>
      </c>
      <c r="H10">
        <v>25</v>
      </c>
      <c r="I10" s="38">
        <f t="shared" si="3"/>
        <v>361.09123490116991</v>
      </c>
      <c r="J10" s="22">
        <f t="shared" si="4"/>
        <v>288.20960454994156</v>
      </c>
      <c r="K10" s="23">
        <f t="shared" si="5"/>
        <v>169.34736092600039</v>
      </c>
    </row>
    <row r="11" spans="1:16" x14ac:dyDescent="0.2">
      <c r="A11">
        <v>7</v>
      </c>
      <c r="B11">
        <f t="shared" si="0"/>
        <v>0.71068133013012136</v>
      </c>
      <c r="C11">
        <v>26</v>
      </c>
      <c r="D11">
        <v>1.2700000000000001E-3</v>
      </c>
      <c r="E11">
        <f t="shared" si="1"/>
        <v>0.99873000000000001</v>
      </c>
      <c r="F11">
        <f t="shared" si="2"/>
        <v>0.95541582203427755</v>
      </c>
      <c r="H11">
        <v>26</v>
      </c>
      <c r="I11" s="38">
        <f t="shared" si="3"/>
        <v>360.08617509518149</v>
      </c>
      <c r="J11" s="22">
        <f t="shared" si="4"/>
        <v>287.15389171276223</v>
      </c>
      <c r="K11" s="23">
        <f t="shared" si="5"/>
        <v>169.34736092600039</v>
      </c>
    </row>
    <row r="12" spans="1:16" x14ac:dyDescent="0.2">
      <c r="A12">
        <v>8</v>
      </c>
      <c r="B12">
        <f t="shared" si="0"/>
        <v>0.676839362028687</v>
      </c>
      <c r="C12">
        <v>27</v>
      </c>
      <c r="D12">
        <v>1.33E-3</v>
      </c>
      <c r="E12">
        <f t="shared" si="1"/>
        <v>0.99866999999999995</v>
      </c>
      <c r="F12">
        <f t="shared" si="2"/>
        <v>0.95250766457532032</v>
      </c>
      <c r="H12">
        <v>27</v>
      </c>
      <c r="I12" s="38">
        <f t="shared" si="3"/>
        <v>358.99012113436186</v>
      </c>
      <c r="J12" s="22">
        <f t="shared" si="4"/>
        <v>286.07274001203649</v>
      </c>
      <c r="K12" s="23">
        <f t="shared" si="5"/>
        <v>169.34736092600039</v>
      </c>
    </row>
    <row r="13" spans="1:16" x14ac:dyDescent="0.2">
      <c r="A13">
        <v>9</v>
      </c>
      <c r="B13">
        <f t="shared" si="0"/>
        <v>0.64460891621779715</v>
      </c>
      <c r="C13">
        <v>28</v>
      </c>
      <c r="D13">
        <v>1.39E-3</v>
      </c>
      <c r="E13">
        <f t="shared" si="1"/>
        <v>0.99861</v>
      </c>
      <c r="F13">
        <f t="shared" si="2"/>
        <v>0.94933158987293031</v>
      </c>
      <c r="H13">
        <v>28</v>
      </c>
      <c r="I13" s="38">
        <f t="shared" si="3"/>
        <v>357.79309198221205</v>
      </c>
      <c r="J13" s="22">
        <f t="shared" si="4"/>
        <v>284.96521875763449</v>
      </c>
      <c r="K13" s="23">
        <f t="shared" si="5"/>
        <v>169.34736092600039</v>
      </c>
    </row>
    <row r="14" spans="1:16" x14ac:dyDescent="0.2">
      <c r="A14">
        <v>10</v>
      </c>
      <c r="B14">
        <f t="shared" si="0"/>
        <v>0.6139132535407591</v>
      </c>
      <c r="C14">
        <v>29</v>
      </c>
      <c r="D14">
        <v>1.4599999999999999E-3</v>
      </c>
      <c r="E14">
        <f t="shared" si="1"/>
        <v>0.99853999999999998</v>
      </c>
      <c r="F14">
        <f t="shared" si="2"/>
        <v>0.9458617064319107</v>
      </c>
      <c r="H14">
        <v>29</v>
      </c>
      <c r="I14" s="38">
        <f t="shared" si="3"/>
        <v>356.48532940649659</v>
      </c>
      <c r="J14" s="22">
        <f t="shared" si="4"/>
        <v>283.8303512994201</v>
      </c>
      <c r="K14" s="23">
        <f t="shared" si="5"/>
        <v>169.34736092600039</v>
      </c>
    </row>
    <row r="15" spans="1:16" x14ac:dyDescent="0.2">
      <c r="A15">
        <v>11</v>
      </c>
      <c r="B15">
        <f t="shared" si="0"/>
        <v>0.58467928908643729</v>
      </c>
      <c r="C15">
        <v>30</v>
      </c>
      <c r="D15">
        <v>1.5300000000000001E-3</v>
      </c>
      <c r="E15">
        <f t="shared" si="1"/>
        <v>0.99846999999999997</v>
      </c>
      <c r="F15">
        <f t="shared" si="2"/>
        <v>0.94207272769723094</v>
      </c>
      <c r="H15">
        <v>30</v>
      </c>
      <c r="I15" s="38">
        <f t="shared" si="3"/>
        <v>355.05730317056634</v>
      </c>
      <c r="J15" s="22">
        <f t="shared" si="4"/>
        <v>282.66711215475033</v>
      </c>
      <c r="K15" s="23">
        <f t="shared" si="5"/>
        <v>169.34736092600039</v>
      </c>
    </row>
    <row r="16" spans="1:16" x14ac:dyDescent="0.2">
      <c r="A16">
        <v>12</v>
      </c>
      <c r="B16">
        <f t="shared" si="0"/>
        <v>0.55683741817755927</v>
      </c>
      <c r="C16">
        <v>31</v>
      </c>
      <c r="D16">
        <v>1.6100000000000001E-3</v>
      </c>
      <c r="E16">
        <f t="shared" si="1"/>
        <v>0.99839</v>
      </c>
      <c r="F16">
        <f t="shared" si="2"/>
        <v>0.93793069110665639</v>
      </c>
      <c r="H16">
        <v>31</v>
      </c>
      <c r="I16" s="38">
        <f t="shared" si="3"/>
        <v>353.49621314190364</v>
      </c>
      <c r="J16" s="22">
        <f t="shared" si="4"/>
        <v>281.47442391781044</v>
      </c>
      <c r="K16" s="23">
        <f t="shared" si="5"/>
        <v>169.34736092600039</v>
      </c>
    </row>
    <row r="17" spans="1:11" x14ac:dyDescent="0.2">
      <c r="A17">
        <v>13</v>
      </c>
      <c r="B17">
        <f t="shared" si="0"/>
        <v>0.53032135064529451</v>
      </c>
      <c r="C17">
        <v>32</v>
      </c>
      <c r="D17">
        <v>1.6999999999999999E-3</v>
      </c>
      <c r="E17">
        <f t="shared" si="1"/>
        <v>0.99829999999999997</v>
      </c>
      <c r="F17">
        <f t="shared" si="2"/>
        <v>0.93341196934038961</v>
      </c>
      <c r="H17">
        <v>32</v>
      </c>
      <c r="I17" s="38">
        <f t="shared" si="3"/>
        <v>351.79315443216842</v>
      </c>
      <c r="J17" s="22">
        <f t="shared" si="4"/>
        <v>280.25115393120547</v>
      </c>
      <c r="K17" s="23">
        <f t="shared" si="5"/>
        <v>169.34736092600039</v>
      </c>
    </row>
    <row r="18" spans="1:11" x14ac:dyDescent="0.2">
      <c r="A18">
        <v>14</v>
      </c>
      <c r="B18">
        <f t="shared" si="0"/>
        <v>0.50506795299551854</v>
      </c>
      <c r="C18">
        <v>33</v>
      </c>
      <c r="D18">
        <v>1.7900000000000001E-3</v>
      </c>
      <c r="E18">
        <f t="shared" si="1"/>
        <v>0.99821000000000004</v>
      </c>
      <c r="F18">
        <f t="shared" si="2"/>
        <v>0.92848451158377909</v>
      </c>
      <c r="H18">
        <v>33</v>
      </c>
      <c r="I18" s="38">
        <f t="shared" si="3"/>
        <v>349.93604742640088</v>
      </c>
      <c r="J18" s="22">
        <f t="shared" si="4"/>
        <v>278.99611069819514</v>
      </c>
      <c r="K18" s="23">
        <f t="shared" si="5"/>
        <v>169.34736092600039</v>
      </c>
    </row>
    <row r="19" spans="1:11" x14ac:dyDescent="0.2">
      <c r="A19">
        <v>15</v>
      </c>
      <c r="B19">
        <f t="shared" si="0"/>
        <v>0.48101709809097004</v>
      </c>
      <c r="C19">
        <v>34</v>
      </c>
      <c r="D19">
        <v>1.9E-3</v>
      </c>
      <c r="E19">
        <f t="shared" si="1"/>
        <v>0.99809999999999999</v>
      </c>
      <c r="F19">
        <f t="shared" si="2"/>
        <v>0.92309894609949272</v>
      </c>
      <c r="H19">
        <v>34</v>
      </c>
      <c r="I19" s="38">
        <f t="shared" si="3"/>
        <v>347.90628443604953</v>
      </c>
      <c r="J19" s="22">
        <f t="shared" si="4"/>
        <v>277.70804001168455</v>
      </c>
      <c r="K19" s="23">
        <f t="shared" si="5"/>
        <v>169.34736092600039</v>
      </c>
    </row>
    <row r="20" spans="1:11" x14ac:dyDescent="0.2">
      <c r="A20">
        <v>16</v>
      </c>
      <c r="B20">
        <f t="shared" si="0"/>
        <v>0.45811152199140004</v>
      </c>
      <c r="C20">
        <v>35</v>
      </c>
      <c r="D20">
        <v>2.0099999999999996E-3</v>
      </c>
      <c r="E20">
        <f t="shared" si="1"/>
        <v>0.99799000000000004</v>
      </c>
      <c r="F20">
        <f t="shared" si="2"/>
        <v>0.91723535796376365</v>
      </c>
      <c r="H20">
        <v>35</v>
      </c>
      <c r="I20" s="38">
        <f t="shared" si="3"/>
        <v>345.69635973579432</v>
      </c>
      <c r="J20" s="22">
        <f t="shared" si="4"/>
        <v>276.38562077353367</v>
      </c>
      <c r="K20" s="23">
        <f t="shared" si="5"/>
        <v>169.34736092600039</v>
      </c>
    </row>
    <row r="21" spans="1:11" x14ac:dyDescent="0.2">
      <c r="A21">
        <v>17</v>
      </c>
      <c r="B21">
        <f t="shared" si="0"/>
        <v>0.43629668761085716</v>
      </c>
      <c r="C21">
        <v>36</v>
      </c>
      <c r="D21">
        <v>2.14E-3</v>
      </c>
      <c r="E21">
        <f t="shared" si="1"/>
        <v>0.99785999999999997</v>
      </c>
      <c r="F21">
        <f t="shared" si="2"/>
        <v>0.91084773309993949</v>
      </c>
      <c r="H21">
        <v>36</v>
      </c>
      <c r="I21" s="38">
        <f t="shared" si="3"/>
        <v>343.28893110408092</v>
      </c>
      <c r="J21" s="22">
        <f t="shared" si="4"/>
        <v>275.02746047489222</v>
      </c>
      <c r="K21" s="23">
        <f t="shared" si="5"/>
        <v>169.34736092600039</v>
      </c>
    </row>
    <row r="22" spans="1:11" x14ac:dyDescent="0.2">
      <c r="A22">
        <v>18</v>
      </c>
      <c r="B22">
        <f t="shared" si="0"/>
        <v>0.41552065486748302</v>
      </c>
      <c r="C22">
        <v>37</v>
      </c>
      <c r="D22">
        <v>2.2799999999999999E-3</v>
      </c>
      <c r="E22">
        <f t="shared" si="1"/>
        <v>0.99772000000000005</v>
      </c>
      <c r="F22">
        <f t="shared" si="2"/>
        <v>0.90390131651956673</v>
      </c>
      <c r="H22">
        <v>37</v>
      </c>
      <c r="I22" s="38">
        <f t="shared" si="3"/>
        <v>340.6708997512838</v>
      </c>
      <c r="J22" s="22">
        <f t="shared" si="4"/>
        <v>273.6320903050551</v>
      </c>
      <c r="K22" s="23">
        <f t="shared" si="5"/>
        <v>169.34736092600039</v>
      </c>
    </row>
    <row r="23" spans="1:11" x14ac:dyDescent="0.2">
      <c r="A23">
        <v>19</v>
      </c>
      <c r="B23">
        <f t="shared" si="0"/>
        <v>0.39573395701665048</v>
      </c>
      <c r="C23">
        <v>38</v>
      </c>
      <c r="D23">
        <v>2.4300000000000003E-3</v>
      </c>
      <c r="E23">
        <f t="shared" si="1"/>
        <v>0.99756999999999996</v>
      </c>
      <c r="F23">
        <f t="shared" si="2"/>
        <v>0.8963455523975955</v>
      </c>
      <c r="H23">
        <v>38</v>
      </c>
      <c r="I23" s="38">
        <f t="shared" si="3"/>
        <v>337.82321171864373</v>
      </c>
      <c r="J23" s="22">
        <f t="shared" si="4"/>
        <v>272.19795985272253</v>
      </c>
      <c r="K23" s="23">
        <f t="shared" si="5"/>
        <v>169.34736092600039</v>
      </c>
    </row>
    <row r="24" spans="1:11" x14ac:dyDescent="0.2">
      <c r="A24">
        <v>20</v>
      </c>
      <c r="B24">
        <f t="shared" si="0"/>
        <v>0.37688948287300045</v>
      </c>
      <c r="C24">
        <v>39</v>
      </c>
      <c r="D24">
        <v>2.5999999999999999E-3</v>
      </c>
      <c r="E24">
        <f t="shared" si="1"/>
        <v>0.99739999999999995</v>
      </c>
      <c r="F24">
        <f t="shared" si="2"/>
        <v>0.88812401225060045</v>
      </c>
      <c r="H24">
        <v>39</v>
      </c>
      <c r="I24" s="38">
        <f t="shared" si="3"/>
        <v>334.72459970422312</v>
      </c>
      <c r="J24" s="22">
        <f t="shared" si="4"/>
        <v>270.72343135947921</v>
      </c>
      <c r="K24" s="23">
        <f t="shared" si="5"/>
        <v>169.34736092600039</v>
      </c>
    </row>
    <row r="25" spans="1:11" x14ac:dyDescent="0.2">
      <c r="A25">
        <v>21</v>
      </c>
      <c r="B25">
        <f t="shared" si="0"/>
        <v>0.35894236464095275</v>
      </c>
      <c r="C25">
        <v>40</v>
      </c>
      <c r="D25">
        <v>2.7799999999999999E-3</v>
      </c>
      <c r="E25">
        <f t="shared" si="1"/>
        <v>0.99722</v>
      </c>
      <c r="F25">
        <f t="shared" si="2"/>
        <v>0.87920181192700786</v>
      </c>
      <c r="H25">
        <v>40</v>
      </c>
      <c r="I25" s="38">
        <f t="shared" si="3"/>
        <v>331.36191623817501</v>
      </c>
      <c r="J25" s="22">
        <f t="shared" si="4"/>
        <v>269.20677348071462</v>
      </c>
      <c r="K25" s="23">
        <f t="shared" si="5"/>
        <v>169.34736092600039</v>
      </c>
    </row>
    <row r="26" spans="1:11" x14ac:dyDescent="0.2">
      <c r="A26">
        <v>22</v>
      </c>
      <c r="B26">
        <f t="shared" si="0"/>
        <v>0.34184987108662168</v>
      </c>
      <c r="C26">
        <v>41</v>
      </c>
      <c r="D26">
        <v>2.98E-3</v>
      </c>
      <c r="E26">
        <f t="shared" si="1"/>
        <v>0.99702000000000002</v>
      </c>
      <c r="F26">
        <f t="shared" si="2"/>
        <v>0.8695212641091159</v>
      </c>
      <c r="H26">
        <v>41</v>
      </c>
      <c r="I26" s="38">
        <f t="shared" si="3"/>
        <v>327.71341957716231</v>
      </c>
      <c r="J26" s="22">
        <f t="shared" si="4"/>
        <v>267.64615450401482</v>
      </c>
      <c r="K26" s="23">
        <f t="shared" si="5"/>
        <v>169.34736092600039</v>
      </c>
    </row>
    <row r="27" spans="1:11" x14ac:dyDescent="0.2">
      <c r="A27">
        <v>23</v>
      </c>
      <c r="B27">
        <f t="shared" si="0"/>
        <v>0.32557130579678251</v>
      </c>
      <c r="C27">
        <v>42</v>
      </c>
      <c r="D27">
        <v>3.2000000000000002E-3</v>
      </c>
      <c r="E27">
        <f t="shared" si="1"/>
        <v>0.99680000000000002</v>
      </c>
      <c r="F27">
        <f t="shared" si="2"/>
        <v>0.85902965831662148</v>
      </c>
      <c r="H27">
        <v>42</v>
      </c>
      <c r="I27" s="38">
        <f t="shared" si="3"/>
        <v>323.75924369552172</v>
      </c>
      <c r="J27" s="22">
        <f t="shared" si="4"/>
        <v>266.03963496917675</v>
      </c>
      <c r="K27" s="23">
        <f t="shared" si="5"/>
        <v>169.34736092600039</v>
      </c>
    </row>
    <row r="28" spans="1:11" x14ac:dyDescent="0.2">
      <c r="A28">
        <v>24</v>
      </c>
      <c r="B28">
        <f t="shared" si="0"/>
        <v>0.31006791028265002</v>
      </c>
      <c r="C28">
        <v>43</v>
      </c>
      <c r="D28">
        <v>3.4399999999999999E-3</v>
      </c>
      <c r="E28">
        <f t="shared" si="1"/>
        <v>0.99656</v>
      </c>
      <c r="F28">
        <f t="shared" si="2"/>
        <v>0.84767130067555707</v>
      </c>
      <c r="H28">
        <v>43</v>
      </c>
      <c r="I28" s="38">
        <f t="shared" si="3"/>
        <v>319.47839815789439</v>
      </c>
      <c r="J28" s="22">
        <f t="shared" si="4"/>
        <v>264.38515962732868</v>
      </c>
      <c r="K28" s="23">
        <f t="shared" si="5"/>
        <v>169.34736092600039</v>
      </c>
    </row>
    <row r="29" spans="1:11" x14ac:dyDescent="0.2">
      <c r="A29">
        <v>25</v>
      </c>
      <c r="B29">
        <f t="shared" si="0"/>
        <v>0.29530277169776192</v>
      </c>
      <c r="C29">
        <v>44</v>
      </c>
      <c r="D29">
        <v>3.7099999999999998E-3</v>
      </c>
      <c r="E29">
        <f t="shared" si="1"/>
        <v>0.99629000000000001</v>
      </c>
      <c r="F29">
        <f t="shared" si="2"/>
        <v>0.83538867486099977</v>
      </c>
      <c r="H29">
        <v>44</v>
      </c>
      <c r="I29" s="38">
        <f t="shared" si="3"/>
        <v>314.84920566632331</v>
      </c>
      <c r="J29" s="22">
        <f t="shared" si="4"/>
        <v>262.6805486690609</v>
      </c>
      <c r="K29" s="23">
        <f t="shared" si="5"/>
        <v>169.34736092600039</v>
      </c>
    </row>
    <row r="30" spans="1:11" x14ac:dyDescent="0.2">
      <c r="A30">
        <v>26</v>
      </c>
      <c r="B30">
        <f t="shared" si="0"/>
        <v>0.28124073495024943</v>
      </c>
      <c r="C30">
        <v>45</v>
      </c>
      <c r="D30">
        <v>4.0000000000000001E-3</v>
      </c>
      <c r="E30">
        <f t="shared" si="1"/>
        <v>0.996</v>
      </c>
      <c r="F30">
        <f t="shared" si="2"/>
        <v>0.82213199763895373</v>
      </c>
      <c r="H30">
        <v>45</v>
      </c>
      <c r="I30" s="38">
        <f t="shared" si="3"/>
        <v>309.8529034434921</v>
      </c>
      <c r="J30" s="22">
        <f t="shared" si="4"/>
        <v>260.92348814284645</v>
      </c>
      <c r="K30" s="23">
        <f t="shared" si="5"/>
        <v>169.34736092600039</v>
      </c>
    </row>
    <row r="31" spans="1:11" x14ac:dyDescent="0.2">
      <c r="A31">
        <v>27</v>
      </c>
      <c r="B31">
        <f t="shared" si="0"/>
        <v>0.26784831900023753</v>
      </c>
      <c r="C31">
        <v>46</v>
      </c>
      <c r="D31">
        <v>4.3099999999999996E-3</v>
      </c>
      <c r="E31">
        <f t="shared" si="1"/>
        <v>0.99568999999999996</v>
      </c>
      <c r="F31">
        <f t="shared" si="2"/>
        <v>0.80816565888388237</v>
      </c>
      <c r="H31">
        <v>46</v>
      </c>
      <c r="I31" s="38">
        <f t="shared" si="3"/>
        <v>304.58913725246413</v>
      </c>
      <c r="J31" s="22">
        <f t="shared" si="4"/>
        <v>259.11151947518778</v>
      </c>
      <c r="K31" s="23">
        <f t="shared" si="5"/>
        <v>169.34736092600039</v>
      </c>
    </row>
    <row r="32" spans="1:11" x14ac:dyDescent="0.2">
      <c r="A32">
        <v>28</v>
      </c>
      <c r="B32">
        <f t="shared" si="0"/>
        <v>0.25509363714308336</v>
      </c>
      <c r="C32">
        <v>47</v>
      </c>
      <c r="D32">
        <v>4.6600000000000001E-3</v>
      </c>
      <c r="E32">
        <f t="shared" si="1"/>
        <v>0.99534</v>
      </c>
      <c r="F32">
        <f t="shared" si="2"/>
        <v>0.79244372855156942</v>
      </c>
      <c r="H32">
        <v>47</v>
      </c>
      <c r="I32" s="38">
        <f t="shared" si="3"/>
        <v>298.66370705975334</v>
      </c>
      <c r="J32" s="22">
        <f t="shared" si="4"/>
        <v>257.24202799268284</v>
      </c>
      <c r="K32" s="23">
        <f t="shared" si="5"/>
        <v>169.34736092600039</v>
      </c>
    </row>
    <row r="33" spans="1:11" x14ac:dyDescent="0.2">
      <c r="A33">
        <v>29</v>
      </c>
      <c r="B33">
        <f t="shared" si="0"/>
        <v>0.2429463210886508</v>
      </c>
      <c r="C33">
        <v>48</v>
      </c>
      <c r="D33">
        <v>5.0400000000000002E-3</v>
      </c>
      <c r="E33">
        <f t="shared" si="1"/>
        <v>0.99495999999999996</v>
      </c>
      <c r="F33">
        <f t="shared" si="2"/>
        <v>0.7758996524777636</v>
      </c>
      <c r="H33">
        <v>48</v>
      </c>
      <c r="I33" s="38">
        <f t="shared" si="3"/>
        <v>292.42841878368506</v>
      </c>
      <c r="J33" s="22">
        <f t="shared" si="4"/>
        <v>255.3122303333229</v>
      </c>
      <c r="K33" s="23">
        <f t="shared" si="5"/>
        <v>169.34736092600039</v>
      </c>
    </row>
    <row r="34" spans="1:11" x14ac:dyDescent="0.2">
      <c r="A34">
        <v>30</v>
      </c>
      <c r="B34">
        <f t="shared" si="0"/>
        <v>0.23137744865585788</v>
      </c>
      <c r="C34">
        <v>49</v>
      </c>
      <c r="D34">
        <v>5.4599999999999996E-3</v>
      </c>
      <c r="E34">
        <f t="shared" si="1"/>
        <v>0.99453999999999998</v>
      </c>
      <c r="F34">
        <f t="shared" si="2"/>
        <v>0.75815852007659268</v>
      </c>
      <c r="H34">
        <v>49</v>
      </c>
      <c r="I34" s="38">
        <f t="shared" si="3"/>
        <v>285.74197256742633</v>
      </c>
      <c r="J34" s="22">
        <f t="shared" si="4"/>
        <v>253.31916061955766</v>
      </c>
      <c r="K34" s="23">
        <f t="shared" si="5"/>
        <v>169.34736092600039</v>
      </c>
    </row>
    <row r="35" spans="1:11" x14ac:dyDescent="0.2">
      <c r="A35">
        <v>31</v>
      </c>
      <c r="B35">
        <f t="shared" si="0"/>
        <v>0.22035947491034086</v>
      </c>
      <c r="C35">
        <v>50</v>
      </c>
      <c r="D35">
        <v>5.9199999999999999E-3</v>
      </c>
      <c r="E35">
        <f t="shared" si="1"/>
        <v>0.99407999999999996</v>
      </c>
      <c r="F35">
        <f t="shared" si="2"/>
        <v>0.73916910915786871</v>
      </c>
      <c r="H35">
        <v>50</v>
      </c>
      <c r="I35" s="38">
        <f t="shared" si="3"/>
        <v>278.5850633062056</v>
      </c>
      <c r="J35" s="22">
        <f t="shared" si="4"/>
        <v>251.25965524866695</v>
      </c>
      <c r="K35" s="23">
        <f t="shared" si="5"/>
        <v>169.34736092600039</v>
      </c>
    </row>
    <row r="36" spans="1:11" x14ac:dyDescent="0.2">
      <c r="A36">
        <v>32</v>
      </c>
      <c r="B36">
        <f t="shared" si="0"/>
        <v>0.20986616658127699</v>
      </c>
      <c r="C36">
        <v>51</v>
      </c>
      <c r="D36">
        <v>6.4200000000000004E-3</v>
      </c>
      <c r="E36">
        <f t="shared" si="1"/>
        <v>0.99358000000000002</v>
      </c>
      <c r="F36">
        <f t="shared" si="2"/>
        <v>0.71889936234106966</v>
      </c>
      <c r="H36">
        <v>51</v>
      </c>
      <c r="I36" s="38">
        <f t="shared" si="3"/>
        <v>270.94560891045552</v>
      </c>
      <c r="J36" s="22">
        <f t="shared" si="4"/>
        <v>249.13033613639013</v>
      </c>
      <c r="K36" s="23">
        <f t="shared" si="5"/>
        <v>169.34736092600039</v>
      </c>
    </row>
    <row r="37" spans="1:11" x14ac:dyDescent="0.2">
      <c r="A37">
        <v>33</v>
      </c>
      <c r="B37">
        <f t="shared" si="0"/>
        <v>0.19987253960121618</v>
      </c>
      <c r="C37">
        <v>52</v>
      </c>
      <c r="D37">
        <v>6.9699999999999996E-3</v>
      </c>
      <c r="E37">
        <f t="shared" si="1"/>
        <v>0.99302999999999997</v>
      </c>
      <c r="F37">
        <f t="shared" si="2"/>
        <v>0.69730879391954581</v>
      </c>
      <c r="H37">
        <v>52</v>
      </c>
      <c r="I37" s="38">
        <f t="shared" si="3"/>
        <v>262.80835074313325</v>
      </c>
      <c r="J37" s="22">
        <f t="shared" si="4"/>
        <v>246.92759222713823</v>
      </c>
      <c r="K37" s="23">
        <f t="shared" si="5"/>
        <v>169.34736092600039</v>
      </c>
    </row>
    <row r="38" spans="1:11" x14ac:dyDescent="0.2">
      <c r="A38">
        <v>34</v>
      </c>
      <c r="B38">
        <f t="shared" si="0"/>
        <v>0.19035479962020588</v>
      </c>
      <c r="C38">
        <v>53</v>
      </c>
      <c r="D38">
        <v>7.5799999999999999E-3</v>
      </c>
      <c r="E38">
        <f t="shared" si="1"/>
        <v>0.99241999999999997</v>
      </c>
      <c r="F38">
        <f t="shared" si="2"/>
        <v>0.67438186107615439</v>
      </c>
      <c r="H38">
        <v>53</v>
      </c>
      <c r="I38" s="38">
        <f t="shared" si="3"/>
        <v>254.16743087992344</v>
      </c>
      <c r="J38" s="22">
        <f t="shared" si="4"/>
        <v>244.64755905791259</v>
      </c>
      <c r="K38" s="23">
        <f t="shared" si="5"/>
        <v>169.34736092600039</v>
      </c>
    </row>
    <row r="39" spans="1:11" x14ac:dyDescent="0.2">
      <c r="A39">
        <v>35</v>
      </c>
      <c r="B39">
        <f t="shared" si="0"/>
        <v>0.18129028535257702</v>
      </c>
      <c r="C39">
        <v>54</v>
      </c>
      <c r="D39">
        <v>8.2400000000000008E-3</v>
      </c>
      <c r="E39">
        <f t="shared" si="1"/>
        <v>0.99175999999999997</v>
      </c>
      <c r="F39">
        <f t="shared" si="2"/>
        <v>0.65010895235037269</v>
      </c>
      <c r="H39">
        <v>54</v>
      </c>
      <c r="I39" s="38">
        <f t="shared" si="3"/>
        <v>245.01922686244004</v>
      </c>
      <c r="J39" s="22">
        <f t="shared" si="4"/>
        <v>242.28609613264317</v>
      </c>
      <c r="K39" s="23">
        <f t="shared" si="5"/>
        <v>169.34736092600039</v>
      </c>
    </row>
    <row r="40" spans="1:11" x14ac:dyDescent="0.2">
      <c r="A40">
        <v>36</v>
      </c>
      <c r="B40">
        <f t="shared" si="0"/>
        <v>0.17265741462150191</v>
      </c>
      <c r="C40">
        <v>55</v>
      </c>
      <c r="D40">
        <v>8.9600000000000009E-3</v>
      </c>
      <c r="E40">
        <f t="shared" si="1"/>
        <v>0.99104000000000003</v>
      </c>
      <c r="F40">
        <f t="shared" si="2"/>
        <v>0.62449816267511959</v>
      </c>
      <c r="H40">
        <v>55</v>
      </c>
      <c r="I40" s="38">
        <f t="shared" si="3"/>
        <v>235.36678958576474</v>
      </c>
      <c r="J40" s="22">
        <f t="shared" si="4"/>
        <v>239.83876182827302</v>
      </c>
      <c r="K40" s="23">
        <f t="shared" si="5"/>
        <v>169.34736092600039</v>
      </c>
    </row>
    <row r="41" spans="1:11" x14ac:dyDescent="0.2">
      <c r="A41">
        <v>37</v>
      </c>
      <c r="B41">
        <f t="shared" si="0"/>
        <v>0.16443563297285896</v>
      </c>
      <c r="C41">
        <v>56</v>
      </c>
      <c r="D41">
        <v>9.75E-3</v>
      </c>
      <c r="E41">
        <f t="shared" si="1"/>
        <v>0.99024999999999996</v>
      </c>
      <c r="F41">
        <f t="shared" si="2"/>
        <v>0.59757209865034977</v>
      </c>
      <c r="H41">
        <v>56</v>
      </c>
      <c r="I41" s="38">
        <f t="shared" si="3"/>
        <v>225.21863923966393</v>
      </c>
      <c r="J41" s="22">
        <f t="shared" si="4"/>
        <v>237.30078551262991</v>
      </c>
      <c r="K41" s="23">
        <f t="shared" si="5"/>
        <v>169.34736092600039</v>
      </c>
    </row>
    <row r="42" spans="1:11" x14ac:dyDescent="0.2">
      <c r="A42">
        <v>38</v>
      </c>
      <c r="B42">
        <f t="shared" si="0"/>
        <v>0.15660536473605616</v>
      </c>
      <c r="C42">
        <v>57</v>
      </c>
      <c r="D42">
        <v>1.0619999999999999E-2</v>
      </c>
      <c r="E42">
        <f t="shared" si="1"/>
        <v>0.98938000000000004</v>
      </c>
      <c r="F42">
        <f t="shared" si="2"/>
        <v>0.56937864401874738</v>
      </c>
      <c r="H42">
        <v>57</v>
      </c>
      <c r="I42" s="38">
        <f t="shared" si="3"/>
        <v>214.59282270315592</v>
      </c>
      <c r="J42" s="22">
        <f t="shared" si="4"/>
        <v>234.66703650583045</v>
      </c>
      <c r="K42" s="23">
        <f t="shared" si="5"/>
        <v>169.34736092600039</v>
      </c>
    </row>
    <row r="43" spans="1:11" x14ac:dyDescent="0.2">
      <c r="A43">
        <v>39</v>
      </c>
      <c r="B43">
        <f t="shared" si="0"/>
        <v>0.14914796641529154</v>
      </c>
      <c r="C43">
        <v>58</v>
      </c>
      <c r="D43">
        <v>1.158E-2</v>
      </c>
      <c r="E43">
        <f t="shared" si="1"/>
        <v>0.98841999999999997</v>
      </c>
      <c r="F43">
        <f t="shared" si="2"/>
        <v>0.53999410666849035</v>
      </c>
      <c r="H43">
        <v>58</v>
      </c>
      <c r="I43" s="38">
        <f t="shared" si="3"/>
        <v>203.51809961675519</v>
      </c>
      <c r="J43" s="22">
        <f t="shared" si="4"/>
        <v>231.93198946030796</v>
      </c>
      <c r="K43" s="23">
        <f t="shared" si="5"/>
        <v>169.34736092600039</v>
      </c>
    </row>
    <row r="44" spans="1:11" x14ac:dyDescent="0.2">
      <c r="A44">
        <v>40</v>
      </c>
      <c r="B44">
        <f t="shared" si="0"/>
        <v>0.14204568230027767</v>
      </c>
      <c r="C44">
        <v>59</v>
      </c>
      <c r="D44">
        <v>1.2619999999999999E-2</v>
      </c>
      <c r="E44">
        <f t="shared" si="1"/>
        <v>0.98738000000000004</v>
      </c>
      <c r="F44">
        <f t="shared" si="2"/>
        <v>0.50951488608307605</v>
      </c>
      <c r="H44">
        <v>59</v>
      </c>
      <c r="I44" s="38">
        <f t="shared" si="3"/>
        <v>192.03080193194626</v>
      </c>
      <c r="J44" s="22">
        <f t="shared" si="4"/>
        <v>229.08968566790222</v>
      </c>
      <c r="K44" s="23">
        <f t="shared" si="5"/>
        <v>169.34736092600039</v>
      </c>
    </row>
    <row r="45" spans="1:11" x14ac:dyDescent="0.2">
      <c r="A45">
        <v>41</v>
      </c>
      <c r="B45">
        <f t="shared" si="0"/>
        <v>0.13528160219074065</v>
      </c>
      <c r="C45">
        <v>60</v>
      </c>
      <c r="D45">
        <v>1.376E-2</v>
      </c>
      <c r="E45">
        <f t="shared" si="1"/>
        <v>0.98624000000000001</v>
      </c>
      <c r="F45">
        <f t="shared" si="2"/>
        <v>0.47806819164131842</v>
      </c>
      <c r="H45">
        <v>60</v>
      </c>
      <c r="I45" s="38">
        <f t="shared" si="3"/>
        <v>180.17887352572697</v>
      </c>
      <c r="J45" s="22">
        <f t="shared" si="4"/>
        <v>226.13368972380027</v>
      </c>
      <c r="K45" s="23">
        <f t="shared" si="5"/>
        <v>169.34736092600039</v>
      </c>
    </row>
    <row r="46" spans="1:11" x14ac:dyDescent="0.2">
      <c r="A46">
        <v>42</v>
      </c>
      <c r="B46">
        <f t="shared" si="0"/>
        <v>0.12883962113403868</v>
      </c>
      <c r="C46">
        <v>61</v>
      </c>
      <c r="D46">
        <v>1.5009999999999999E-2</v>
      </c>
      <c r="E46">
        <f t="shared" si="1"/>
        <v>0.98499000000000003</v>
      </c>
      <c r="F46">
        <f t="shared" si="2"/>
        <v>0.44581371253703017</v>
      </c>
      <c r="H46">
        <v>61</v>
      </c>
      <c r="I46" s="38">
        <f t="shared" si="3"/>
        <v>168.02249957577379</v>
      </c>
      <c r="J46" s="22">
        <f t="shared" si="4"/>
        <v>223.05704088402067</v>
      </c>
      <c r="K46" s="23">
        <f t="shared" si="5"/>
        <v>169.34736092600039</v>
      </c>
    </row>
    <row r="47" spans="1:11" x14ac:dyDescent="0.2">
      <c r="A47">
        <v>43</v>
      </c>
      <c r="B47">
        <f t="shared" si="0"/>
        <v>0.12270440108003686</v>
      </c>
      <c r="C47">
        <v>62</v>
      </c>
      <c r="D47">
        <v>1.6379999999999999E-2</v>
      </c>
      <c r="E47">
        <f t="shared" si="1"/>
        <v>0.98362000000000005</v>
      </c>
      <c r="F47">
        <f t="shared" si="2"/>
        <v>0.41294084079055099</v>
      </c>
      <c r="H47">
        <v>62</v>
      </c>
      <c r="I47" s="38">
        <f t="shared" si="3"/>
        <v>155.63305994269277</v>
      </c>
      <c r="J47" s="22">
        <f t="shared" si="4"/>
        <v>219.85219834258359</v>
      </c>
      <c r="K47" s="23">
        <f t="shared" si="5"/>
        <v>169.34736092600039</v>
      </c>
    </row>
    <row r="48" spans="1:11" x14ac:dyDescent="0.2">
      <c r="A48">
        <v>44</v>
      </c>
      <c r="B48">
        <f t="shared" si="0"/>
        <v>0.11686133436193985</v>
      </c>
      <c r="C48">
        <v>63</v>
      </c>
      <c r="D48">
        <v>1.788E-2</v>
      </c>
      <c r="E48">
        <f t="shared" si="1"/>
        <v>0.98211999999999999</v>
      </c>
      <c r="F48">
        <f t="shared" si="2"/>
        <v>0.37967870417698563</v>
      </c>
      <c r="H48">
        <v>63</v>
      </c>
      <c r="I48" s="38">
        <f t="shared" si="3"/>
        <v>143.09691047515503</v>
      </c>
      <c r="J48" s="22">
        <f t="shared" si="4"/>
        <v>216.51097952278747</v>
      </c>
      <c r="K48" s="23">
        <f t="shared" si="5"/>
        <v>169.34736092600039</v>
      </c>
    </row>
    <row r="49" spans="1:11" x14ac:dyDescent="0.2">
      <c r="A49">
        <v>45</v>
      </c>
      <c r="B49">
        <f t="shared" si="0"/>
        <v>0.11129650891613319</v>
      </c>
      <c r="C49">
        <v>64</v>
      </c>
      <c r="D49">
        <v>1.9519999999999999E-2</v>
      </c>
      <c r="E49">
        <f t="shared" si="1"/>
        <v>0.98048000000000002</v>
      </c>
      <c r="F49">
        <f t="shared" si="2"/>
        <v>0.3462772460650525</v>
      </c>
      <c r="H49">
        <v>64</v>
      </c>
      <c r="I49" s="38">
        <f t="shared" si="3"/>
        <v>130.50825220014437</v>
      </c>
      <c r="J49" s="22">
        <f t="shared" si="4"/>
        <v>213.02449031952199</v>
      </c>
      <c r="K49" s="23">
        <f t="shared" si="5"/>
        <v>169.34736092600039</v>
      </c>
    </row>
    <row r="50" spans="1:11" x14ac:dyDescent="0.2">
      <c r="A50">
        <v>46</v>
      </c>
      <c r="B50">
        <f t="shared" si="0"/>
        <v>0.10599667515822207</v>
      </c>
      <c r="C50">
        <v>65</v>
      </c>
      <c r="D50">
        <v>2.0920000000000001E-2</v>
      </c>
      <c r="E50">
        <f t="shared" si="1"/>
        <v>0.97907999999999995</v>
      </c>
      <c r="F50">
        <f t="shared" si="2"/>
        <v>0.31301911916603775</v>
      </c>
      <c r="H50">
        <v>65</v>
      </c>
      <c r="I50" s="38">
        <f t="shared" si="3"/>
        <v>117.97361395185007</v>
      </c>
      <c r="J50" s="22">
        <f t="shared" si="4"/>
        <v>209.3830460405558</v>
      </c>
      <c r="K50" s="23">
        <f t="shared" si="5"/>
        <v>169.34736092600039</v>
      </c>
    </row>
    <row r="51" spans="1:11" x14ac:dyDescent="0.2">
      <c r="A51">
        <v>47</v>
      </c>
      <c r="B51">
        <f t="shared" si="0"/>
        <v>0.10094921443640198</v>
      </c>
      <c r="C51">
        <v>66</v>
      </c>
      <c r="D51">
        <v>2.368E-2</v>
      </c>
      <c r="E51">
        <f t="shared" si="1"/>
        <v>0.97631999999999997</v>
      </c>
      <c r="F51">
        <f t="shared" si="2"/>
        <v>0.28009884840110855</v>
      </c>
      <c r="H51">
        <v>66</v>
      </c>
      <c r="I51" s="38">
        <f t="shared" si="3"/>
        <v>105.56631012721675</v>
      </c>
      <c r="J51" s="22">
        <f t="shared" si="4"/>
        <v>205.57608156709114</v>
      </c>
      <c r="K51" s="23">
        <f t="shared" si="5"/>
        <v>169.34736092600039</v>
      </c>
    </row>
    <row r="52" spans="1:11" x14ac:dyDescent="0.2">
      <c r="A52">
        <v>48</v>
      </c>
      <c r="B52">
        <f t="shared" si="0"/>
        <v>9.6142108987049502E-2</v>
      </c>
      <c r="C52">
        <v>67</v>
      </c>
      <c r="D52">
        <v>2.5440000000000001E-2</v>
      </c>
      <c r="E52">
        <f t="shared" si="1"/>
        <v>0.97455999999999998</v>
      </c>
      <c r="F52">
        <f t="shared" si="2"/>
        <v>0.24817919309023984</v>
      </c>
      <c r="H52">
        <v>67</v>
      </c>
      <c r="I52" s="38">
        <f t="shared" si="3"/>
        <v>93.536127743619019</v>
      </c>
      <c r="J52" s="22">
        <f t="shared" si="4"/>
        <v>201.59204897858163</v>
      </c>
      <c r="K52" s="23">
        <f t="shared" si="5"/>
        <v>169.34736092600039</v>
      </c>
    </row>
    <row r="53" spans="1:11" x14ac:dyDescent="0.2">
      <c r="A53">
        <v>49</v>
      </c>
      <c r="B53">
        <f t="shared" si="0"/>
        <v>9.1563913320999515E-2</v>
      </c>
      <c r="C53">
        <v>68</v>
      </c>
      <c r="D53">
        <v>2.7789999999999999E-2</v>
      </c>
      <c r="E53">
        <f t="shared" si="1"/>
        <v>0.97221000000000002</v>
      </c>
      <c r="F53">
        <f t="shared" si="2"/>
        <v>0.21725101729725674</v>
      </c>
      <c r="H53">
        <v>68</v>
      </c>
      <c r="I53" s="38">
        <f t="shared" si="3"/>
        <v>81.879623562796368</v>
      </c>
      <c r="J53" s="22">
        <f t="shared" si="4"/>
        <v>197.41830055252402</v>
      </c>
      <c r="K53" s="23">
        <f t="shared" si="5"/>
        <v>169.34736092600039</v>
      </c>
    </row>
    <row r="54" spans="1:11" x14ac:dyDescent="0.2">
      <c r="A54">
        <v>50</v>
      </c>
      <c r="B54">
        <f t="shared" si="0"/>
        <v>8.7203726972380491E-2</v>
      </c>
      <c r="C54">
        <v>69</v>
      </c>
      <c r="D54">
        <v>3.0370000000000001E-2</v>
      </c>
      <c r="E54">
        <f t="shared" si="1"/>
        <v>0.96962999999999999</v>
      </c>
      <c r="F54">
        <f t="shared" si="2"/>
        <v>0.18774969628267779</v>
      </c>
      <c r="H54">
        <v>69</v>
      </c>
      <c r="I54" s="38">
        <f t="shared" si="3"/>
        <v>70.760885941541332</v>
      </c>
      <c r="J54" s="22">
        <f t="shared" si="4"/>
        <v>193.04095464226853</v>
      </c>
      <c r="K54" s="23">
        <f t="shared" si="5"/>
        <v>169.34736092600039</v>
      </c>
    </row>
    <row r="55" spans="1:11" x14ac:dyDescent="0.2">
      <c r="A55">
        <v>51</v>
      </c>
      <c r="B55">
        <f t="shared" si="0"/>
        <v>8.3051168545124274E-2</v>
      </c>
      <c r="C55">
        <v>70</v>
      </c>
      <c r="D55">
        <v>3.3180000000000001E-2</v>
      </c>
      <c r="E55">
        <f t="shared" si="1"/>
        <v>0.96682000000000001</v>
      </c>
      <c r="F55">
        <f t="shared" si="2"/>
        <v>0.15998699148496071</v>
      </c>
      <c r="H55">
        <v>70</v>
      </c>
      <c r="I55" s="38">
        <f t="shared" si="3"/>
        <v>60.297414487173967</v>
      </c>
      <c r="J55" s="22">
        <f t="shared" si="4"/>
        <v>188.44474143650024</v>
      </c>
      <c r="K55" s="23">
        <f t="shared" si="5"/>
        <v>169.34736092600039</v>
      </c>
    </row>
    <row r="56" spans="1:11" x14ac:dyDescent="0.2">
      <c r="A56">
        <v>52</v>
      </c>
      <c r="B56">
        <f t="shared" si="0"/>
        <v>7.909635099535646E-2</v>
      </c>
      <c r="C56">
        <v>71</v>
      </c>
      <c r="D56">
        <v>3.6260000000000001E-2</v>
      </c>
      <c r="E56">
        <f t="shared" si="1"/>
        <v>0.96374000000000004</v>
      </c>
      <c r="F56">
        <f t="shared" si="2"/>
        <v>0.13424034163788992</v>
      </c>
      <c r="H56">
        <v>71</v>
      </c>
      <c r="I56" s="38">
        <f t="shared" si="3"/>
        <v>50.593772940599237</v>
      </c>
      <c r="J56" s="22">
        <f t="shared" si="4"/>
        <v>183.61282498941048</v>
      </c>
      <c r="K56" s="23">
        <f t="shared" si="5"/>
        <v>169.34736092600039</v>
      </c>
    </row>
    <row r="57" spans="1:11" x14ac:dyDescent="0.2">
      <c r="A57">
        <v>53</v>
      </c>
      <c r="B57">
        <f t="shared" si="0"/>
        <v>7.532985809081566E-2</v>
      </c>
      <c r="C57">
        <v>72</v>
      </c>
      <c r="D57">
        <v>3.9619999999999995E-2</v>
      </c>
      <c r="E57">
        <f t="shared" si="1"/>
        <v>0.96038000000000001</v>
      </c>
      <c r="F57">
        <f t="shared" si="2"/>
        <v>0.11074612284022364</v>
      </c>
      <c r="H57">
        <v>72</v>
      </c>
      <c r="I57" s="38">
        <f t="shared" si="3"/>
        <v>41.739048967441668</v>
      </c>
      <c r="J57" s="22">
        <f t="shared" si="4"/>
        <v>178.52659715036864</v>
      </c>
      <c r="K57" s="23">
        <f t="shared" si="5"/>
        <v>169.34736092600039</v>
      </c>
    </row>
    <row r="58" spans="1:11" x14ac:dyDescent="0.2">
      <c r="A58">
        <v>54</v>
      </c>
      <c r="B58">
        <f t="shared" si="0"/>
        <v>7.1742721991253006E-2</v>
      </c>
      <c r="C58">
        <v>73</v>
      </c>
      <c r="D58">
        <v>4.3299999999999998E-2</v>
      </c>
      <c r="E58">
        <f t="shared" si="1"/>
        <v>0.95669999999999999</v>
      </c>
      <c r="F58">
        <f t="shared" si="2"/>
        <v>8.9683856511513296E-2</v>
      </c>
      <c r="H58">
        <v>73</v>
      </c>
      <c r="I58" s="38">
        <f t="shared" si="3"/>
        <v>33.800902302680619</v>
      </c>
      <c r="J58" s="22">
        <f t="shared" si="4"/>
        <v>173.165438076784</v>
      </c>
      <c r="K58" s="23">
        <f t="shared" si="5"/>
        <v>169.34736092600039</v>
      </c>
    </row>
    <row r="59" spans="1:11" x14ac:dyDescent="0.2">
      <c r="A59">
        <v>55</v>
      </c>
      <c r="B59">
        <f t="shared" si="0"/>
        <v>6.8326401896431424E-2</v>
      </c>
      <c r="C59">
        <v>74</v>
      </c>
      <c r="D59">
        <v>4.7310000000000005E-2</v>
      </c>
      <c r="E59">
        <f t="shared" si="1"/>
        <v>0.95269000000000004</v>
      </c>
      <c r="F59">
        <f t="shared" si="2"/>
        <v>7.1164004214644264E-2</v>
      </c>
      <c r="H59">
        <v>74</v>
      </c>
      <c r="I59" s="38">
        <f t="shared" si="3"/>
        <v>26.820964747629301</v>
      </c>
      <c r="J59" s="22">
        <f t="shared" si="4"/>
        <v>167.50643683244465</v>
      </c>
      <c r="K59" s="23">
        <f t="shared" si="5"/>
        <v>169.34736092600039</v>
      </c>
    </row>
    <row r="60" spans="1:11" x14ac:dyDescent="0.2">
      <c r="A60">
        <v>56</v>
      </c>
      <c r="B60">
        <f t="shared" si="0"/>
        <v>6.5072763710887077E-2</v>
      </c>
      <c r="C60">
        <v>75</v>
      </c>
      <c r="D60">
        <v>5.169E-2</v>
      </c>
      <c r="E60">
        <f t="shared" si="1"/>
        <v>0.94830999999999999</v>
      </c>
      <c r="F60">
        <f t="shared" si="2"/>
        <v>5.522196453805548E-2</v>
      </c>
      <c r="H60">
        <v>75</v>
      </c>
      <c r="I60" s="38">
        <f t="shared" si="3"/>
        <v>20.812577657978899</v>
      </c>
      <c r="J60" s="22">
        <f t="shared" si="4"/>
        <v>161.52406408842876</v>
      </c>
      <c r="K60" s="23">
        <f t="shared" si="5"/>
        <v>169.34736092600039</v>
      </c>
    </row>
    <row r="61" spans="1:11" x14ac:dyDescent="0.2">
      <c r="A61">
        <v>57</v>
      </c>
      <c r="B61">
        <f t="shared" si="0"/>
        <v>6.1974060677035314E-2</v>
      </c>
      <c r="C61">
        <v>76</v>
      </c>
      <c r="D61">
        <v>5.6469999999999999E-2</v>
      </c>
      <c r="E61">
        <f t="shared" si="1"/>
        <v>0.94352999999999998</v>
      </c>
      <c r="F61">
        <f t="shared" si="2"/>
        <v>4.1815799174460086E-2</v>
      </c>
      <c r="H61">
        <v>76</v>
      </c>
      <c r="I61" s="38">
        <f t="shared" si="3"/>
        <v>15.759934926783501</v>
      </c>
      <c r="J61" s="22">
        <f t="shared" si="4"/>
        <v>155.18978706535313</v>
      </c>
      <c r="K61" s="23">
        <f t="shared" si="5"/>
        <v>169.34736092600039</v>
      </c>
    </row>
    <row r="62" spans="1:11" x14ac:dyDescent="0.2">
      <c r="A62">
        <v>58</v>
      </c>
      <c r="B62">
        <f t="shared" si="0"/>
        <v>5.9022914930509818E-2</v>
      </c>
      <c r="C62">
        <v>77</v>
      </c>
      <c r="D62">
        <v>6.1679999999999999E-2</v>
      </c>
      <c r="E62">
        <f t="shared" si="1"/>
        <v>0.93832000000000004</v>
      </c>
      <c r="F62">
        <f t="shared" si="2"/>
        <v>3.0825706777522405E-2</v>
      </c>
      <c r="H62">
        <v>77</v>
      </c>
      <c r="I62" s="38">
        <f t="shared" si="3"/>
        <v>11.617884686575165</v>
      </c>
      <c r="J62" s="22">
        <f t="shared" si="4"/>
        <v>148.47161446512138</v>
      </c>
      <c r="K62" s="23">
        <f t="shared" si="5"/>
        <v>169.34736092600039</v>
      </c>
    </row>
    <row r="63" spans="1:11" x14ac:dyDescent="0.2">
      <c r="A63">
        <v>59</v>
      </c>
      <c r="B63">
        <f t="shared" si="0"/>
        <v>5.621229993381887E-2</v>
      </c>
      <c r="C63">
        <v>78</v>
      </c>
      <c r="D63">
        <v>6.7369999999999999E-2</v>
      </c>
      <c r="E63">
        <f t="shared" si="1"/>
        <v>0.93262999999999996</v>
      </c>
      <c r="F63">
        <f t="shared" si="2"/>
        <v>2.206538730304235E-2</v>
      </c>
      <c r="H63">
        <v>78</v>
      </c>
      <c r="I63" s="38">
        <f t="shared" si="3"/>
        <v>8.316212410036103</v>
      </c>
      <c r="J63" s="22">
        <f t="shared" si="4"/>
        <v>141.33355607737516</v>
      </c>
      <c r="K63" s="23">
        <f t="shared" si="5"/>
        <v>169.34736092600039</v>
      </c>
    </row>
    <row r="64" spans="1:11" x14ac:dyDescent="0.2">
      <c r="A64">
        <v>60</v>
      </c>
      <c r="B64">
        <f t="shared" si="0"/>
        <v>5.353552374649416E-2</v>
      </c>
      <c r="C64">
        <v>79</v>
      </c>
      <c r="D64">
        <v>7.356E-2</v>
      </c>
      <c r="E64">
        <f t="shared" si="1"/>
        <v>0.92644000000000004</v>
      </c>
      <c r="F64">
        <f t="shared" si="2"/>
        <v>1.5293381461765728E-2</v>
      </c>
      <c r="H64">
        <v>79</v>
      </c>
      <c r="I64" s="38">
        <f t="shared" si="3"/>
        <v>5.7639146305044173</v>
      </c>
      <c r="J64" s="22">
        <f t="shared" si="4"/>
        <v>133.73497779364533</v>
      </c>
      <c r="K64" s="23">
        <f t="shared" si="5"/>
        <v>169.34736092600039</v>
      </c>
    </row>
    <row r="65" spans="1:11" x14ac:dyDescent="0.2">
      <c r="A65">
        <v>61</v>
      </c>
      <c r="B65">
        <f t="shared" si="0"/>
        <v>5.0986213091899199E-2</v>
      </c>
      <c r="C65">
        <v>80</v>
      </c>
      <c r="D65">
        <v>8.0299999999999996E-2</v>
      </c>
      <c r="E65">
        <f t="shared" si="1"/>
        <v>0.91969999999999996</v>
      </c>
      <c r="F65">
        <f t="shared" si="2"/>
        <v>1.0231464347396919E-2</v>
      </c>
      <c r="H65">
        <v>80</v>
      </c>
      <c r="I65" s="38">
        <f t="shared" si="3"/>
        <v>3.8561313069239658</v>
      </c>
      <c r="J65" s="22">
        <f t="shared" si="4"/>
        <v>125.62982762433347</v>
      </c>
      <c r="K65" s="23">
        <f t="shared" si="5"/>
        <v>169.34736092600039</v>
      </c>
    </row>
    <row r="66" spans="1:11" x14ac:dyDescent="0.2">
      <c r="A66">
        <v>62</v>
      </c>
      <c r="B66">
        <f t="shared" si="0"/>
        <v>4.8558298182761132E-2</v>
      </c>
      <c r="C66">
        <v>81</v>
      </c>
      <c r="D66">
        <v>8.7639999999999996E-2</v>
      </c>
      <c r="E66">
        <f t="shared" si="1"/>
        <v>0.91236000000000006</v>
      </c>
      <c r="F66">
        <f t="shared" si="2"/>
        <v>6.584537477370111E-3</v>
      </c>
      <c r="H66">
        <v>81</v>
      </c>
      <c r="I66" s="38">
        <f t="shared" si="3"/>
        <v>2.481642924803912</v>
      </c>
      <c r="J66" s="22">
        <f t="shared" si="4"/>
        <v>116.96570158127601</v>
      </c>
      <c r="K66" s="23">
        <f t="shared" si="5"/>
        <v>169.34736092600039</v>
      </c>
    </row>
    <row r="67" spans="1:11" x14ac:dyDescent="0.2">
      <c r="A67">
        <v>63</v>
      </c>
      <c r="B67">
        <f t="shared" si="0"/>
        <v>4.6245998269296325E-2</v>
      </c>
      <c r="C67">
        <v>82</v>
      </c>
      <c r="D67">
        <v>9.5610000000000001E-2</v>
      </c>
      <c r="E67">
        <f t="shared" si="1"/>
        <v>0.90439000000000003</v>
      </c>
      <c r="F67">
        <f t="shared" si="2"/>
        <v>4.0611720475094348E-3</v>
      </c>
      <c r="H67">
        <v>82</v>
      </c>
      <c r="I67" s="38">
        <f t="shared" si="3"/>
        <v>1.5306130328441154</v>
      </c>
      <c r="J67" s="22">
        <f t="shared" si="4"/>
        <v>107.68270939228584</v>
      </c>
      <c r="K67" s="23">
        <f t="shared" si="5"/>
        <v>169.34736092600039</v>
      </c>
    </row>
    <row r="68" spans="1:11" x14ac:dyDescent="0.2">
      <c r="A68">
        <v>64</v>
      </c>
      <c r="B68">
        <f t="shared" si="0"/>
        <v>4.4043807875520306E-2</v>
      </c>
      <c r="C68">
        <v>83</v>
      </c>
      <c r="D68">
        <v>0.10428</v>
      </c>
      <c r="E68">
        <f t="shared" si="1"/>
        <v>0.89571999999999996</v>
      </c>
      <c r="F68">
        <f t="shared" si="2"/>
        <v>2.3907024473662332E-3</v>
      </c>
      <c r="H68">
        <v>83</v>
      </c>
      <c r="I68" s="38">
        <f t="shared" si="3"/>
        <v>0.90103060909107624</v>
      </c>
      <c r="J68" s="22">
        <f t="shared" si="4"/>
        <v>97.712088152259369</v>
      </c>
      <c r="K68" s="23">
        <f t="shared" si="5"/>
        <v>169.34736092600039</v>
      </c>
    </row>
    <row r="69" spans="1:11" x14ac:dyDescent="0.2">
      <c r="A69">
        <v>65</v>
      </c>
      <c r="B69">
        <f t="shared" si="0"/>
        <v>4.1946483690971717E-2</v>
      </c>
      <c r="C69">
        <v>84</v>
      </c>
      <c r="D69">
        <v>0.11369</v>
      </c>
      <c r="E69">
        <f t="shared" si="1"/>
        <v>0.88631000000000004</v>
      </c>
      <c r="F69">
        <f t="shared" si="2"/>
        <v>1.337210102660381E-3</v>
      </c>
      <c r="H69">
        <v>84</v>
      </c>
      <c r="I69" s="38">
        <f t="shared" si="3"/>
        <v>0.50398042408422283</v>
      </c>
      <c r="J69" s="22">
        <f t="shared" si="4"/>
        <v>86.974496047615474</v>
      </c>
      <c r="K69" s="23">
        <f t="shared" si="5"/>
        <v>169.34736092600039</v>
      </c>
    </row>
    <row r="70" spans="1:11" x14ac:dyDescent="0.2">
      <c r="A70">
        <v>66</v>
      </c>
      <c r="B70">
        <f t="shared" ref="B70:B95" si="6">(1/(1+$B$2))^A70</f>
        <v>3.9949032086639732E-2</v>
      </c>
      <c r="C70">
        <v>85</v>
      </c>
      <c r="D70">
        <v>0.12389</v>
      </c>
      <c r="E70">
        <f t="shared" ref="E70:E95" si="7">1-D70</f>
        <v>0.87610999999999994</v>
      </c>
      <c r="F70">
        <f t="shared" ref="F70:F95" si="8">PRODUCT(E70:E89)</f>
        <v>7.0717595346884673E-4</v>
      </c>
      <c r="H70">
        <v>85</v>
      </c>
      <c r="I70" s="38">
        <f t="shared" ref="I70:I95" si="9">(1/(1+$B$2))^20*F70*1000</f>
        <v>0.26652717940309467</v>
      </c>
      <c r="J70" s="22">
        <f t="shared" ref="J70:J95" si="10">MAX((1/(1+$B$2))^20*(110-C70-20)/(110-C70)*1000,0)</f>
        <v>75.377896574600086</v>
      </c>
      <c r="K70" s="23">
        <f t="shared" ref="K70:K95" si="11">((1/(1+$B$2))*EXP(-0.04))^20*1000</f>
        <v>169.34736092600039</v>
      </c>
    </row>
    <row r="71" spans="1:11" x14ac:dyDescent="0.2">
      <c r="A71">
        <v>67</v>
      </c>
      <c r="B71">
        <f t="shared" si="6"/>
        <v>3.804669722537117E-2</v>
      </c>
      <c r="C71">
        <v>86</v>
      </c>
      <c r="D71">
        <v>0.13494</v>
      </c>
      <c r="E71">
        <f t="shared" si="7"/>
        <v>0.86505999999999994</v>
      </c>
      <c r="F71">
        <f t="shared" si="8"/>
        <v>3.5169514636964699E-4</v>
      </c>
      <c r="H71">
        <v>86</v>
      </c>
      <c r="I71" s="38">
        <f t="shared" si="9"/>
        <v>0.13255020184420044</v>
      </c>
      <c r="J71" s="22">
        <f t="shared" si="10"/>
        <v>62.814913812166736</v>
      </c>
      <c r="K71" s="23">
        <f t="shared" si="11"/>
        <v>169.34736092600039</v>
      </c>
    </row>
    <row r="72" spans="1:11" x14ac:dyDescent="0.2">
      <c r="A72">
        <v>68</v>
      </c>
      <c r="B72">
        <f t="shared" si="6"/>
        <v>3.6234949738448735E-2</v>
      </c>
      <c r="C72">
        <v>87</v>
      </c>
      <c r="D72">
        <v>0.14688999999999999</v>
      </c>
      <c r="E72">
        <f t="shared" si="7"/>
        <v>0.85311000000000003</v>
      </c>
      <c r="F72">
        <f t="shared" si="8"/>
        <v>1.6350453958740535E-4</v>
      </c>
      <c r="H72">
        <v>87</v>
      </c>
      <c r="I72" s="38">
        <f t="shared" si="9"/>
        <v>6.1623141372485243E-2</v>
      </c>
      <c r="J72" s="22">
        <f t="shared" si="10"/>
        <v>49.159497766043536</v>
      </c>
      <c r="K72" s="23">
        <f t="shared" si="11"/>
        <v>169.34736092600039</v>
      </c>
    </row>
    <row r="73" spans="1:11" x14ac:dyDescent="0.2">
      <c r="A73">
        <v>69</v>
      </c>
      <c r="B73">
        <f t="shared" si="6"/>
        <v>3.4509475941379743E-2</v>
      </c>
      <c r="C73">
        <v>88</v>
      </c>
      <c r="D73">
        <v>0.15981000000000001</v>
      </c>
      <c r="E73">
        <f t="shared" si="7"/>
        <v>0.84018999999999999</v>
      </c>
      <c r="F73">
        <f t="shared" si="8"/>
        <v>7.0598788201306568E-5</v>
      </c>
      <c r="H73">
        <v>88</v>
      </c>
      <c r="I73" s="38">
        <f t="shared" si="9"/>
        <v>2.6607940776650917E-2</v>
      </c>
      <c r="J73" s="22">
        <f t="shared" si="10"/>
        <v>34.262680261181856</v>
      </c>
      <c r="K73" s="23">
        <f t="shared" si="11"/>
        <v>169.34736092600039</v>
      </c>
    </row>
    <row r="74" spans="1:11" x14ac:dyDescent="0.2">
      <c r="A74">
        <v>70</v>
      </c>
      <c r="B74">
        <f t="shared" si="6"/>
        <v>3.2866167563218807E-2</v>
      </c>
      <c r="C74">
        <v>89</v>
      </c>
      <c r="D74">
        <v>0.17374999999999999</v>
      </c>
      <c r="E74">
        <f t="shared" si="7"/>
        <v>0.82625000000000004</v>
      </c>
      <c r="F74">
        <f t="shared" si="8"/>
        <v>2.8111289818668524E-5</v>
      </c>
      <c r="H74">
        <v>89</v>
      </c>
      <c r="I74" s="38">
        <f t="shared" si="9"/>
        <v>1.0594849482651023E-2</v>
      </c>
      <c r="J74" s="22">
        <f t="shared" si="10"/>
        <v>17.947118232047639</v>
      </c>
      <c r="K74" s="23">
        <f t="shared" si="11"/>
        <v>169.34736092600039</v>
      </c>
    </row>
    <row r="75" spans="1:11" x14ac:dyDescent="0.2">
      <c r="A75">
        <v>71</v>
      </c>
      <c r="B75">
        <f t="shared" si="6"/>
        <v>3.1301111964970284E-2</v>
      </c>
      <c r="C75">
        <v>90</v>
      </c>
      <c r="D75">
        <v>0.18877000000000002</v>
      </c>
      <c r="E75">
        <f t="shared" si="7"/>
        <v>0.81123000000000001</v>
      </c>
      <c r="F75">
        <f t="shared" si="8"/>
        <v>1.0245268021900941E-5</v>
      </c>
      <c r="H75">
        <v>90</v>
      </c>
      <c r="I75" s="38">
        <f t="shared" si="9"/>
        <v>3.8613337666695336E-3</v>
      </c>
      <c r="J75" s="22">
        <f t="shared" si="10"/>
        <v>0</v>
      </c>
      <c r="K75" s="23">
        <f t="shared" si="11"/>
        <v>169.34736092600039</v>
      </c>
    </row>
    <row r="76" spans="1:11" x14ac:dyDescent="0.2">
      <c r="A76">
        <v>72</v>
      </c>
      <c r="B76">
        <f t="shared" si="6"/>
        <v>2.9810582823781222E-2</v>
      </c>
      <c r="C76">
        <v>91</v>
      </c>
      <c r="D76">
        <v>0.20493</v>
      </c>
      <c r="E76">
        <f t="shared" si="7"/>
        <v>0.79506999999999994</v>
      </c>
      <c r="F76">
        <f t="shared" si="8"/>
        <v>3.3862945338711552E-6</v>
      </c>
      <c r="H76">
        <v>91</v>
      </c>
      <c r="I76" s="38">
        <f t="shared" si="9"/>
        <v>1.2762587957263678E-3</v>
      </c>
      <c r="J76" s="22">
        <f t="shared" si="10"/>
        <v>0</v>
      </c>
      <c r="K76" s="23">
        <f t="shared" si="11"/>
        <v>169.34736092600039</v>
      </c>
    </row>
    <row r="77" spans="1:11" x14ac:dyDescent="0.2">
      <c r="A77">
        <v>73</v>
      </c>
      <c r="B77">
        <f t="shared" si="6"/>
        <v>2.8391031260744024E-2</v>
      </c>
      <c r="C77">
        <v>92</v>
      </c>
      <c r="D77">
        <v>0.22227000000000002</v>
      </c>
      <c r="E77">
        <f t="shared" si="7"/>
        <v>0.77773000000000003</v>
      </c>
      <c r="F77">
        <f t="shared" si="8"/>
        <v>4.2591149633002848E-6</v>
      </c>
      <c r="H77">
        <v>92</v>
      </c>
      <c r="I77" s="38">
        <f t="shared" si="9"/>
        <v>1.6052156360149025E-3</v>
      </c>
      <c r="J77" s="22">
        <f t="shared" si="10"/>
        <v>0</v>
      </c>
      <c r="K77" s="23">
        <f t="shared" si="11"/>
        <v>169.34736092600039</v>
      </c>
    </row>
    <row r="78" spans="1:11" x14ac:dyDescent="0.2">
      <c r="A78">
        <v>74</v>
      </c>
      <c r="B78">
        <f t="shared" si="6"/>
        <v>2.7039077391184781E-2</v>
      </c>
      <c r="C78">
        <v>93</v>
      </c>
      <c r="D78">
        <v>0.24086000000000002</v>
      </c>
      <c r="E78">
        <f t="shared" si="7"/>
        <v>0.75913999999999993</v>
      </c>
      <c r="F78">
        <f t="shared" si="8"/>
        <v>5.4763413566408457E-6</v>
      </c>
      <c r="H78">
        <v>93</v>
      </c>
      <c r="I78" s="38">
        <f t="shared" si="9"/>
        <v>2.0639754619403939E-3</v>
      </c>
      <c r="J78" s="22">
        <f t="shared" si="10"/>
        <v>0</v>
      </c>
      <c r="K78" s="23">
        <f t="shared" si="11"/>
        <v>169.34736092600039</v>
      </c>
    </row>
    <row r="79" spans="1:11" x14ac:dyDescent="0.2">
      <c r="A79">
        <v>75</v>
      </c>
      <c r="B79">
        <f t="shared" si="6"/>
        <v>2.5751502277318841E-2</v>
      </c>
      <c r="C79">
        <v>94</v>
      </c>
      <c r="D79">
        <v>0.26073000000000002</v>
      </c>
      <c r="E79">
        <f t="shared" si="7"/>
        <v>0.73926999999999998</v>
      </c>
      <c r="F79">
        <f t="shared" si="8"/>
        <v>7.2138753808794783E-6</v>
      </c>
      <c r="H79">
        <v>94</v>
      </c>
      <c r="I79" s="38">
        <f t="shared" si="9"/>
        <v>2.7188337618099354E-3</v>
      </c>
      <c r="J79" s="22">
        <f t="shared" si="10"/>
        <v>0</v>
      </c>
      <c r="K79" s="23">
        <f t="shared" si="11"/>
        <v>169.34736092600039</v>
      </c>
    </row>
    <row r="80" spans="1:11" x14ac:dyDescent="0.2">
      <c r="A80">
        <v>76</v>
      </c>
      <c r="B80">
        <f t="shared" si="6"/>
        <v>2.4525240264113179E-2</v>
      </c>
      <c r="C80">
        <v>95</v>
      </c>
      <c r="D80">
        <v>0.28191000000000005</v>
      </c>
      <c r="E80">
        <f t="shared" si="7"/>
        <v>0.7180899999999999</v>
      </c>
      <c r="F80">
        <f t="shared" si="8"/>
        <v>9.7581064846124895E-6</v>
      </c>
      <c r="H80">
        <v>95</v>
      </c>
      <c r="I80" s="38">
        <f t="shared" si="9"/>
        <v>3.6777277068052736E-3</v>
      </c>
      <c r="J80" s="22">
        <f t="shared" si="10"/>
        <v>0</v>
      </c>
      <c r="K80" s="23">
        <f t="shared" si="11"/>
        <v>169.34736092600039</v>
      </c>
    </row>
    <row r="81" spans="1:11" x14ac:dyDescent="0.2">
      <c r="A81">
        <v>77</v>
      </c>
      <c r="B81">
        <f t="shared" si="6"/>
        <v>2.3357371680107788E-2</v>
      </c>
      <c r="C81">
        <v>96</v>
      </c>
      <c r="D81">
        <v>0.30445</v>
      </c>
      <c r="E81">
        <f t="shared" si="7"/>
        <v>0.69555</v>
      </c>
      <c r="F81">
        <f t="shared" si="8"/>
        <v>1.3588974201858385E-5</v>
      </c>
      <c r="H81">
        <v>96</v>
      </c>
      <c r="I81" s="38">
        <f t="shared" si="9"/>
        <v>5.1215414597129512E-3</v>
      </c>
      <c r="J81" s="22">
        <f t="shared" si="10"/>
        <v>0</v>
      </c>
      <c r="K81" s="23">
        <f t="shared" si="11"/>
        <v>169.34736092600039</v>
      </c>
    </row>
    <row r="82" spans="1:11" x14ac:dyDescent="0.2">
      <c r="A82">
        <v>78</v>
      </c>
      <c r="B82">
        <f t="shared" si="6"/>
        <v>2.224511588581694E-2</v>
      </c>
      <c r="C82">
        <v>97</v>
      </c>
      <c r="D82">
        <v>0.32833999999999997</v>
      </c>
      <c r="E82">
        <f t="shared" si="7"/>
        <v>0.67166000000000003</v>
      </c>
      <c r="F82">
        <f t="shared" si="8"/>
        <v>1.9537019914971452E-5</v>
      </c>
      <c r="H82">
        <v>97</v>
      </c>
      <c r="I82" s="38">
        <f t="shared" si="9"/>
        <v>7.3632973326331012E-3</v>
      </c>
      <c r="J82" s="22">
        <f t="shared" si="10"/>
        <v>0</v>
      </c>
      <c r="K82" s="23">
        <f t="shared" si="11"/>
        <v>169.34736092600039</v>
      </c>
    </row>
    <row r="83" spans="1:11" x14ac:dyDescent="0.2">
      <c r="A83">
        <v>79</v>
      </c>
      <c r="B83">
        <f t="shared" si="6"/>
        <v>2.1185824653158991E-2</v>
      </c>
      <c r="C83">
        <v>98</v>
      </c>
      <c r="D83">
        <v>0.35360000000000003</v>
      </c>
      <c r="E83">
        <f t="shared" si="7"/>
        <v>0.64639999999999997</v>
      </c>
      <c r="F83">
        <f t="shared" si="8"/>
        <v>2.9087663274530939E-5</v>
      </c>
      <c r="H83">
        <v>98</v>
      </c>
      <c r="I83" s="38">
        <f t="shared" si="9"/>
        <v>1.0962834369521932E-2</v>
      </c>
      <c r="J83" s="22">
        <f t="shared" si="10"/>
        <v>0</v>
      </c>
      <c r="K83" s="23">
        <f t="shared" si="11"/>
        <v>169.34736092600039</v>
      </c>
    </row>
    <row r="84" spans="1:11" x14ac:dyDescent="0.2">
      <c r="A84">
        <v>80</v>
      </c>
      <c r="B84">
        <f t="shared" si="6"/>
        <v>2.0176975860151419E-2</v>
      </c>
      <c r="C84">
        <v>99</v>
      </c>
      <c r="D84">
        <v>0.38019999999999998</v>
      </c>
      <c r="E84">
        <f t="shared" si="7"/>
        <v>0.61980000000000002</v>
      </c>
      <c r="F84">
        <f t="shared" si="8"/>
        <v>4.4999479075697597E-5</v>
      </c>
      <c r="H84">
        <v>99</v>
      </c>
      <c r="I84" s="38">
        <f t="shared" si="9"/>
        <v>1.695983039839407E-2</v>
      </c>
      <c r="J84" s="22">
        <f t="shared" si="10"/>
        <v>0</v>
      </c>
      <c r="K84" s="23">
        <f t="shared" si="11"/>
        <v>169.34736092600039</v>
      </c>
    </row>
    <row r="85" spans="1:11" x14ac:dyDescent="0.2">
      <c r="A85">
        <v>81</v>
      </c>
      <c r="B85">
        <f t="shared" si="6"/>
        <v>1.9216167485858495E-2</v>
      </c>
      <c r="C85">
        <v>100</v>
      </c>
      <c r="D85">
        <v>0.40811999999999998</v>
      </c>
      <c r="E85">
        <f t="shared" si="7"/>
        <v>0.59187999999999996</v>
      </c>
      <c r="F85">
        <f t="shared" si="8"/>
        <v>7.2603225356078765E-5</v>
      </c>
      <c r="H85">
        <v>100</v>
      </c>
      <c r="I85" s="38">
        <f t="shared" si="9"/>
        <v>2.7363392059364441E-2</v>
      </c>
      <c r="J85" s="22">
        <f t="shared" si="10"/>
        <v>0</v>
      </c>
      <c r="K85" s="23">
        <f t="shared" si="11"/>
        <v>169.34736092600039</v>
      </c>
    </row>
    <row r="86" spans="1:11" x14ac:dyDescent="0.2">
      <c r="A86">
        <v>82</v>
      </c>
      <c r="B86">
        <f t="shared" si="6"/>
        <v>1.8301111891293805E-2</v>
      </c>
      <c r="C86">
        <v>101</v>
      </c>
      <c r="D86">
        <v>0.43727999999999995</v>
      </c>
      <c r="E86">
        <f t="shared" si="7"/>
        <v>0.56272000000000011</v>
      </c>
      <c r="F86">
        <f t="shared" si="8"/>
        <v>1.2266544798959038E-4</v>
      </c>
      <c r="H86">
        <v>101</v>
      </c>
      <c r="I86" s="38">
        <f t="shared" si="9"/>
        <v>4.6231317259181649E-2</v>
      </c>
      <c r="J86" s="22">
        <f t="shared" si="10"/>
        <v>0</v>
      </c>
      <c r="K86" s="23">
        <f t="shared" si="11"/>
        <v>169.34736092600039</v>
      </c>
    </row>
    <row r="87" spans="1:11" x14ac:dyDescent="0.2">
      <c r="A87">
        <v>83</v>
      </c>
      <c r="B87">
        <f t="shared" si="6"/>
        <v>1.7429630372660765E-2</v>
      </c>
      <c r="C87">
        <v>102</v>
      </c>
      <c r="D87">
        <v>0.46761000000000003</v>
      </c>
      <c r="E87">
        <f t="shared" si="7"/>
        <v>0.53238999999999992</v>
      </c>
      <c r="F87">
        <f t="shared" si="8"/>
        <v>2.1798665053595099E-4</v>
      </c>
      <c r="H87">
        <v>102</v>
      </c>
      <c r="I87" s="38">
        <f t="shared" si="9"/>
        <v>8.2156875993712034E-2</v>
      </c>
      <c r="J87" s="22">
        <f t="shared" si="10"/>
        <v>0</v>
      </c>
      <c r="K87" s="23">
        <f t="shared" si="11"/>
        <v>169.34736092600039</v>
      </c>
    </row>
    <row r="88" spans="1:11" x14ac:dyDescent="0.2">
      <c r="A88">
        <v>84</v>
      </c>
      <c r="B88">
        <f t="shared" si="6"/>
        <v>1.6599647973962631E-2</v>
      </c>
      <c r="C88">
        <v>103</v>
      </c>
      <c r="D88">
        <v>0.49898999999999999</v>
      </c>
      <c r="E88">
        <f t="shared" si="7"/>
        <v>0.50100999999999996</v>
      </c>
      <c r="F88">
        <f t="shared" si="8"/>
        <v>4.0944918299733478E-4</v>
      </c>
      <c r="H88">
        <v>103</v>
      </c>
      <c r="I88" s="38">
        <f t="shared" si="9"/>
        <v>0.15431709084263803</v>
      </c>
      <c r="J88" s="22">
        <f t="shared" si="10"/>
        <v>0</v>
      </c>
      <c r="K88" s="23">
        <f t="shared" si="11"/>
        <v>169.34736092600039</v>
      </c>
    </row>
    <row r="89" spans="1:11" x14ac:dyDescent="0.2">
      <c r="A89">
        <v>85</v>
      </c>
      <c r="B89">
        <f t="shared" si="6"/>
        <v>1.5809188546631076E-2</v>
      </c>
      <c r="C89">
        <v>104</v>
      </c>
      <c r="D89">
        <v>0.53127999999999997</v>
      </c>
      <c r="E89">
        <f t="shared" si="7"/>
        <v>0.46872000000000003</v>
      </c>
      <c r="F89">
        <f t="shared" si="8"/>
        <v>8.1724752599216541E-4</v>
      </c>
      <c r="H89">
        <v>104</v>
      </c>
      <c r="I89" s="38">
        <f t="shared" si="9"/>
        <v>0.30801199745042618</v>
      </c>
      <c r="J89" s="22">
        <f t="shared" si="10"/>
        <v>0</v>
      </c>
      <c r="K89" s="23">
        <f t="shared" si="11"/>
        <v>169.34736092600039</v>
      </c>
    </row>
    <row r="90" spans="1:11" x14ac:dyDescent="0.2">
      <c r="A90">
        <v>86</v>
      </c>
      <c r="B90">
        <f t="shared" si="6"/>
        <v>1.5056370044410549E-2</v>
      </c>
      <c r="C90">
        <v>105</v>
      </c>
      <c r="D90">
        <v>0.56428999999999996</v>
      </c>
      <c r="E90">
        <f t="shared" si="7"/>
        <v>0.43571000000000004</v>
      </c>
      <c r="F90">
        <f t="shared" si="8"/>
        <v>1.7435729774538436E-3</v>
      </c>
      <c r="H90">
        <v>105</v>
      </c>
      <c r="I90" s="38">
        <f t="shared" si="9"/>
        <v>0.65713431782391674</v>
      </c>
      <c r="J90" s="22">
        <f t="shared" si="10"/>
        <v>0</v>
      </c>
      <c r="K90" s="23">
        <f t="shared" si="11"/>
        <v>169.34736092600039</v>
      </c>
    </row>
    <row r="91" spans="1:11" x14ac:dyDescent="0.2">
      <c r="A91">
        <v>87</v>
      </c>
      <c r="B91">
        <f t="shared" si="6"/>
        <v>1.4339400042295759E-2</v>
      </c>
      <c r="C91">
        <v>106</v>
      </c>
      <c r="D91">
        <v>0.59783000000000008</v>
      </c>
      <c r="E91">
        <f t="shared" si="7"/>
        <v>0.40216999999999992</v>
      </c>
      <c r="F91">
        <f t="shared" si="8"/>
        <v>4.0016822598835074E-3</v>
      </c>
      <c r="H91">
        <v>106</v>
      </c>
      <c r="I91" s="38">
        <f t="shared" si="9"/>
        <v>1.5081919575495548</v>
      </c>
      <c r="J91" s="22">
        <f t="shared" si="10"/>
        <v>0</v>
      </c>
      <c r="K91" s="23">
        <f t="shared" si="11"/>
        <v>169.34736092600039</v>
      </c>
    </row>
    <row r="92" spans="1:11" x14ac:dyDescent="0.2">
      <c r="A92">
        <v>88</v>
      </c>
      <c r="B92">
        <f t="shared" si="6"/>
        <v>1.3656571468853105E-2</v>
      </c>
      <c r="C92">
        <v>107</v>
      </c>
      <c r="D92">
        <v>0.63163999999999998</v>
      </c>
      <c r="E92">
        <f t="shared" si="7"/>
        <v>0.36836000000000002</v>
      </c>
      <c r="F92">
        <f t="shared" si="8"/>
        <v>9.9502256754196196E-3</v>
      </c>
      <c r="H92">
        <v>107</v>
      </c>
      <c r="I92" s="38">
        <f t="shared" si="9"/>
        <v>3.7501354092785522</v>
      </c>
      <c r="J92" s="22">
        <f t="shared" si="10"/>
        <v>0</v>
      </c>
      <c r="K92" s="23">
        <f t="shared" si="11"/>
        <v>169.34736092600039</v>
      </c>
    </row>
    <row r="93" spans="1:11" x14ac:dyDescent="0.2">
      <c r="A93">
        <v>89</v>
      </c>
      <c r="B93">
        <f t="shared" si="6"/>
        <v>1.3006258541764862E-2</v>
      </c>
      <c r="C93">
        <v>108</v>
      </c>
      <c r="D93">
        <v>0.6654500000000001</v>
      </c>
      <c r="E93">
        <f t="shared" si="7"/>
        <v>0.3345499999999999</v>
      </c>
      <c r="F93">
        <f t="shared" si="8"/>
        <v>2.7012231717394992E-2</v>
      </c>
      <c r="H93">
        <v>108</v>
      </c>
      <c r="I93" s="38">
        <f t="shared" si="9"/>
        <v>10.180626043214659</v>
      </c>
      <c r="J93" s="22">
        <f t="shared" si="10"/>
        <v>0</v>
      </c>
      <c r="K93" s="23">
        <f t="shared" si="11"/>
        <v>169.34736092600039</v>
      </c>
    </row>
    <row r="94" spans="1:11" x14ac:dyDescent="0.2">
      <c r="A94">
        <v>90</v>
      </c>
      <c r="B94">
        <f t="shared" si="6"/>
        <v>1.2386912896918914E-2</v>
      </c>
      <c r="C94">
        <v>109</v>
      </c>
      <c r="D94">
        <v>0.69886999999999999</v>
      </c>
      <c r="E94">
        <f t="shared" si="7"/>
        <v>0.30113000000000001</v>
      </c>
      <c r="F94">
        <f t="shared" si="8"/>
        <v>8.0741986899999993E-2</v>
      </c>
      <c r="H94">
        <v>109</v>
      </c>
      <c r="I94" s="38">
        <f t="shared" si="9"/>
        <v>30.430805688879573</v>
      </c>
      <c r="J94" s="22">
        <f t="shared" si="10"/>
        <v>0</v>
      </c>
      <c r="K94" s="23">
        <f t="shared" si="11"/>
        <v>169.34736092600039</v>
      </c>
    </row>
    <row r="95" spans="1:11" x14ac:dyDescent="0.2">
      <c r="A95">
        <v>91</v>
      </c>
      <c r="B95">
        <f t="shared" si="6"/>
        <v>1.1797059901827537E-2</v>
      </c>
      <c r="C95">
        <v>110</v>
      </c>
      <c r="D95">
        <v>0.73187000000000002</v>
      </c>
      <c r="E95">
        <f t="shared" si="7"/>
        <v>0.26812999999999998</v>
      </c>
      <c r="F95">
        <f t="shared" si="8"/>
        <v>0.26812999999999998</v>
      </c>
      <c r="H95">
        <v>110</v>
      </c>
      <c r="I95" s="39">
        <f t="shared" si="9"/>
        <v>101.0553770427376</v>
      </c>
      <c r="J95" s="25" t="e">
        <f t="shared" si="10"/>
        <v>#DIV/0!</v>
      </c>
      <c r="K95" s="26">
        <f t="shared" si="11"/>
        <v>169.34736092600039</v>
      </c>
    </row>
  </sheetData>
  <pageMargins left="0.75" right="0.75" top="1" bottom="1" header="0.5" footer="0.5"/>
  <pageSetup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O95"/>
  <sheetViews>
    <sheetView topLeftCell="F1" workbookViewId="0">
      <selection activeCell="L5" sqref="L5:M5"/>
    </sheetView>
  </sheetViews>
  <sheetFormatPr baseColWidth="10" defaultRowHeight="16" x14ac:dyDescent="0.2"/>
  <cols>
    <col min="2" max="2" width="15.5" customWidth="1"/>
    <col min="3" max="3" width="15" customWidth="1"/>
    <col min="5" max="5" width="15.5" customWidth="1"/>
    <col min="6" max="6" width="15" customWidth="1"/>
    <col min="7" max="7" width="12.1640625" customWidth="1"/>
    <col min="9" max="9" width="15.5" customWidth="1"/>
    <col min="10" max="10" width="15" customWidth="1"/>
    <col min="14" max="14" width="3.1640625" customWidth="1"/>
    <col min="15" max="15" width="11.83203125" bestFit="1" customWidth="1"/>
    <col min="17" max="17" width="9.1640625" customWidth="1"/>
    <col min="18" max="19" width="12.1640625" bestFit="1" customWidth="1"/>
  </cols>
  <sheetData>
    <row r="1" spans="1:15" x14ac:dyDescent="0.2">
      <c r="A1" t="s">
        <v>74</v>
      </c>
      <c r="D1" t="s">
        <v>75</v>
      </c>
      <c r="H1" t="s">
        <v>98</v>
      </c>
    </row>
    <row r="2" spans="1:15" x14ac:dyDescent="0.2">
      <c r="A2" t="s">
        <v>84</v>
      </c>
      <c r="B2" t="s">
        <v>85</v>
      </c>
      <c r="C2" t="s">
        <v>86</v>
      </c>
      <c r="D2" t="s">
        <v>81</v>
      </c>
      <c r="E2" t="s">
        <v>82</v>
      </c>
      <c r="F2" t="s">
        <v>83</v>
      </c>
      <c r="H2" t="s">
        <v>99</v>
      </c>
      <c r="I2" t="s">
        <v>100</v>
      </c>
      <c r="J2" t="s">
        <v>101</v>
      </c>
      <c r="O2">
        <v>8.1999999999999993</v>
      </c>
    </row>
    <row r="3" spans="1:15" x14ac:dyDescent="0.2">
      <c r="A3" t="s">
        <v>66</v>
      </c>
      <c r="B3" t="s">
        <v>67</v>
      </c>
      <c r="C3" t="s">
        <v>36</v>
      </c>
      <c r="D3" t="s">
        <v>66</v>
      </c>
      <c r="E3" t="s">
        <v>67</v>
      </c>
      <c r="F3" t="s">
        <v>36</v>
      </c>
      <c r="H3" t="s">
        <v>66</v>
      </c>
      <c r="I3" t="s">
        <v>67</v>
      </c>
      <c r="J3" t="s">
        <v>36</v>
      </c>
      <c r="L3" t="s">
        <v>102</v>
      </c>
      <c r="M3" t="s">
        <v>103</v>
      </c>
      <c r="O3" t="s">
        <v>90</v>
      </c>
    </row>
    <row r="4" spans="1:15" x14ac:dyDescent="0.2">
      <c r="A4" t="s">
        <v>114</v>
      </c>
      <c r="D4" t="s">
        <v>112</v>
      </c>
    </row>
    <row r="5" spans="1:15" x14ac:dyDescent="0.2">
      <c r="A5" s="62">
        <f>'Part 6 - Term Life'!M5</f>
        <v>18.273841194111128</v>
      </c>
      <c r="B5" s="52">
        <f>'Part 6 - Term Life'!N5</f>
        <v>138.46900380599985</v>
      </c>
      <c r="C5" s="53">
        <f>'Part 6 - Term Life'!O5</f>
        <v>365.09529295872125</v>
      </c>
      <c r="D5" s="62">
        <f>'Part 7 - Pure Endowment'!I5</f>
        <v>364.95129320898053</v>
      </c>
      <c r="E5" s="52">
        <f>'Part 7 - Pure Endowment'!J5</f>
        <v>293.13626445677818</v>
      </c>
      <c r="F5" s="53">
        <f>'Part 7 - Pure Endowment'!K5</f>
        <v>169.34736092600039</v>
      </c>
      <c r="H5" s="37">
        <f>A5+D5</f>
        <v>383.22513440309166</v>
      </c>
      <c r="I5" s="19">
        <f t="shared" ref="I5:I68" si="0">B5+E5</f>
        <v>431.60526826277805</v>
      </c>
      <c r="J5" s="20">
        <f t="shared" ref="J5:J68" si="1">C5+F5</f>
        <v>534.44265388472161</v>
      </c>
      <c r="L5">
        <f>'Part 6 - Term Life'!Q5+'Part 7 - Pure Endowment'!M5</f>
        <v>0.38322513440309169</v>
      </c>
      <c r="M5">
        <f>'Part 6 - Term Life'!R5+'Part 7 - Pure Endowment'!N5</f>
        <v>0.1489728875935338</v>
      </c>
      <c r="O5" s="65">
        <f>1000^2*(M5-L5^2)</f>
        <v>2111.3839552661107</v>
      </c>
    </row>
    <row r="6" spans="1:15" x14ac:dyDescent="0.2">
      <c r="A6" s="63">
        <f>'Part 6 - Term Life'!M6</f>
        <v>19.191865470372221</v>
      </c>
      <c r="B6" s="54">
        <f>'Part 6 - Term Life'!N6</f>
        <v>140.02483530943803</v>
      </c>
      <c r="C6" s="55">
        <f>'Part 6 - Term Life'!O6</f>
        <v>365.09529295872125</v>
      </c>
      <c r="D6" s="63">
        <f>'Part 7 - Pure Endowment'!I6</f>
        <v>364.3119699429007</v>
      </c>
      <c r="E6" s="54">
        <f>'Part 7 - Pure Endowment'!J6</f>
        <v>292.19521705884307</v>
      </c>
      <c r="F6" s="55">
        <f>'Part 7 - Pure Endowment'!K6</f>
        <v>169.34736092600039</v>
      </c>
      <c r="H6" s="38">
        <f t="shared" ref="H6:H69" si="2">A6+D6</f>
        <v>383.5038354132729</v>
      </c>
      <c r="I6" s="22">
        <f t="shared" si="0"/>
        <v>432.22005236828113</v>
      </c>
      <c r="J6" s="23">
        <f t="shared" si="1"/>
        <v>534.44265388472161</v>
      </c>
    </row>
    <row r="7" spans="1:15" x14ac:dyDescent="0.2">
      <c r="A7" s="63">
        <f>'Part 6 - Term Life'!M7</f>
        <v>20.198518844295577</v>
      </c>
      <c r="B7" s="54">
        <f>'Part 6 - Term Life'!N7</f>
        <v>141.61602661977258</v>
      </c>
      <c r="C7" s="55">
        <f>'Part 6 - Term Life'!O7</f>
        <v>365.09529295872125</v>
      </c>
      <c r="D7" s="63">
        <f>'Part 7 - Pure Endowment'!I7</f>
        <v>363.61174872612048</v>
      </c>
      <c r="E7" s="54">
        <f>'Part 7 - Pure Endowment'!J7</f>
        <v>291.23278222004581</v>
      </c>
      <c r="F7" s="55">
        <f>'Part 7 - Pure Endowment'!K7</f>
        <v>169.34736092600039</v>
      </c>
      <c r="H7" s="38">
        <f t="shared" si="2"/>
        <v>383.81026757041604</v>
      </c>
      <c r="I7" s="22">
        <f t="shared" si="0"/>
        <v>432.84880883981839</v>
      </c>
      <c r="J7" s="23">
        <f t="shared" si="1"/>
        <v>534.44265388472161</v>
      </c>
    </row>
    <row r="8" spans="1:15" x14ac:dyDescent="0.2">
      <c r="A8" s="63">
        <f>'Part 6 - Term Life'!M8</f>
        <v>21.295427352521742</v>
      </c>
      <c r="B8" s="54">
        <f>'Part 6 - Term Life'!N8</f>
        <v>143.24379704068949</v>
      </c>
      <c r="C8" s="55">
        <f>'Part 6 - Term Life'!O8</f>
        <v>365.09529295872125</v>
      </c>
      <c r="D8" s="63">
        <f>'Part 7 - Pure Endowment'!I8</f>
        <v>362.84732318570116</v>
      </c>
      <c r="E8" s="54">
        <f>'Part 7 - Pure Endowment'!J8</f>
        <v>290.24822244242563</v>
      </c>
      <c r="F8" s="55">
        <f>'Part 7 - Pure Endowment'!K8</f>
        <v>169.34736092600039</v>
      </c>
      <c r="H8" s="38">
        <f t="shared" si="2"/>
        <v>384.14275053822291</v>
      </c>
      <c r="I8" s="22">
        <f t="shared" si="0"/>
        <v>433.49201948311509</v>
      </c>
      <c r="J8" s="23">
        <f t="shared" si="1"/>
        <v>534.44265388472161</v>
      </c>
    </row>
    <row r="9" spans="1:15" x14ac:dyDescent="0.2">
      <c r="A9" s="63">
        <f>'Part 6 - Term Life'!M9</f>
        <v>22.503822831706387</v>
      </c>
      <c r="B9" s="54">
        <f>'Part 6 - Term Life'!N9</f>
        <v>144.90942258767424</v>
      </c>
      <c r="C9" s="55">
        <f>'Part 6 - Term Life'!O9</f>
        <v>365.09529295872125</v>
      </c>
      <c r="D9" s="63">
        <f>'Part 7 - Pure Endowment'!I9</f>
        <v>362.00819765729517</v>
      </c>
      <c r="E9" s="54">
        <f>'Part 7 - Pure Endowment'!J9</f>
        <v>289.24076592579104</v>
      </c>
      <c r="F9" s="55">
        <f>'Part 7 - Pure Endowment'!K9</f>
        <v>169.34736092600039</v>
      </c>
      <c r="H9" s="38">
        <f t="shared" si="2"/>
        <v>384.51202048900154</v>
      </c>
      <c r="I9" s="22">
        <f t="shared" si="0"/>
        <v>434.15018851346531</v>
      </c>
      <c r="J9" s="23">
        <f t="shared" si="1"/>
        <v>534.44265388472161</v>
      </c>
    </row>
    <row r="10" spans="1:15" x14ac:dyDescent="0.2">
      <c r="A10" s="63">
        <f>'Part 6 - Term Life'!M10</f>
        <v>23.820172189784373</v>
      </c>
      <c r="B10" s="54">
        <f>'Part 6 - Term Life'!N10</f>
        <v>146.61423932399984</v>
      </c>
      <c r="C10" s="55">
        <f>'Part 6 - Term Life'!O10</f>
        <v>365.09529295872125</v>
      </c>
      <c r="D10" s="63">
        <f>'Part 7 - Pure Endowment'!I10</f>
        <v>361.09123490116991</v>
      </c>
      <c r="E10" s="54">
        <f>'Part 7 - Pure Endowment'!J10</f>
        <v>288.20960454994156</v>
      </c>
      <c r="F10" s="55">
        <f>'Part 7 - Pure Endowment'!K10</f>
        <v>169.34736092600039</v>
      </c>
      <c r="H10" s="38">
        <f t="shared" si="2"/>
        <v>384.9114070909543</v>
      </c>
      <c r="I10" s="22">
        <f t="shared" si="0"/>
        <v>434.82384387394143</v>
      </c>
      <c r="J10" s="23">
        <f t="shared" si="1"/>
        <v>534.44265388472161</v>
      </c>
    </row>
    <row r="11" spans="1:15" x14ac:dyDescent="0.2">
      <c r="A11" s="63">
        <f>'Part 6 - Term Life'!M11</f>
        <v>25.266370711145854</v>
      </c>
      <c r="B11" s="54">
        <f>'Part 6 - Term Life'!N11</f>
        <v>148.35964693499983</v>
      </c>
      <c r="C11" s="55">
        <f>'Part 6 - Term Life'!O11</f>
        <v>365.09529295872125</v>
      </c>
      <c r="D11" s="63">
        <f>'Part 7 - Pure Endowment'!I11</f>
        <v>360.08617509518149</v>
      </c>
      <c r="E11" s="54">
        <f>'Part 7 - Pure Endowment'!J11</f>
        <v>287.15389171276223</v>
      </c>
      <c r="F11" s="55">
        <f>'Part 7 - Pure Endowment'!K11</f>
        <v>169.34736092600039</v>
      </c>
      <c r="H11" s="38">
        <f t="shared" si="2"/>
        <v>385.35254580632733</v>
      </c>
      <c r="I11" s="22">
        <f t="shared" si="0"/>
        <v>435.51353864776206</v>
      </c>
      <c r="J11" s="23">
        <f t="shared" si="1"/>
        <v>534.44265388472161</v>
      </c>
    </row>
    <row r="12" spans="1:15" x14ac:dyDescent="0.2">
      <c r="A12" s="63">
        <f>'Part 6 - Term Life'!M12</f>
        <v>26.845754769921029</v>
      </c>
      <c r="B12" s="54">
        <f>'Part 6 - Term Life'!N12</f>
        <v>150.14711256072272</v>
      </c>
      <c r="C12" s="55">
        <f>'Part 6 - Term Life'!O12</f>
        <v>365.09529295872125</v>
      </c>
      <c r="D12" s="63">
        <f>'Part 7 - Pure Endowment'!I12</f>
        <v>358.99012113436186</v>
      </c>
      <c r="E12" s="54">
        <f>'Part 7 - Pure Endowment'!J12</f>
        <v>286.07274001203649</v>
      </c>
      <c r="F12" s="55">
        <f>'Part 7 - Pure Endowment'!K12</f>
        <v>169.34736092600039</v>
      </c>
      <c r="H12" s="38">
        <f t="shared" si="2"/>
        <v>385.83587590428289</v>
      </c>
      <c r="I12" s="22">
        <f t="shared" si="0"/>
        <v>436.21985257275924</v>
      </c>
      <c r="J12" s="23">
        <f t="shared" si="1"/>
        <v>534.44265388472161</v>
      </c>
    </row>
    <row r="13" spans="1:15" x14ac:dyDescent="0.2">
      <c r="A13" s="63">
        <f>'Part 6 - Term Life'!M13</f>
        <v>28.56893315399806</v>
      </c>
      <c r="B13" s="54">
        <f>'Part 6 - Term Life'!N13</f>
        <v>151.9781749090242</v>
      </c>
      <c r="C13" s="55">
        <f>'Part 6 - Term Life'!O13</f>
        <v>365.09529295872125</v>
      </c>
      <c r="D13" s="63">
        <f>'Part 7 - Pure Endowment'!I13</f>
        <v>357.79309198221205</v>
      </c>
      <c r="E13" s="54">
        <f>'Part 7 - Pure Endowment'!J13</f>
        <v>284.96521875763449</v>
      </c>
      <c r="F13" s="55">
        <f>'Part 7 - Pure Endowment'!K13</f>
        <v>169.34736092600039</v>
      </c>
      <c r="H13" s="38">
        <f t="shared" si="2"/>
        <v>386.36202513621009</v>
      </c>
      <c r="I13" s="22">
        <f t="shared" si="0"/>
        <v>436.94339366665872</v>
      </c>
      <c r="J13" s="23">
        <f t="shared" si="1"/>
        <v>534.44265388472161</v>
      </c>
    </row>
    <row r="14" spans="1:15" x14ac:dyDescent="0.2">
      <c r="A14" s="63">
        <f>'Part 6 - Term Life'!M14</f>
        <v>30.452986646727368</v>
      </c>
      <c r="B14" s="54">
        <f>'Part 6 - Term Life'!N14</f>
        <v>153.85444867333317</v>
      </c>
      <c r="C14" s="55">
        <f>'Part 6 - Term Life'!O14</f>
        <v>365.09529295872125</v>
      </c>
      <c r="D14" s="63">
        <f>'Part 7 - Pure Endowment'!I14</f>
        <v>356.48532940649659</v>
      </c>
      <c r="E14" s="54">
        <f>'Part 7 - Pure Endowment'!J14</f>
        <v>283.8303512994201</v>
      </c>
      <c r="F14" s="55">
        <f>'Part 7 - Pure Endowment'!K14</f>
        <v>169.34736092600039</v>
      </c>
      <c r="H14" s="38">
        <f t="shared" si="2"/>
        <v>386.93831605322396</v>
      </c>
      <c r="I14" s="22">
        <f t="shared" si="0"/>
        <v>437.68479997275324</v>
      </c>
      <c r="J14" s="23">
        <f t="shared" si="1"/>
        <v>534.44265388472161</v>
      </c>
    </row>
    <row r="15" spans="1:15" x14ac:dyDescent="0.2">
      <c r="A15" s="63">
        <f>'Part 6 - Term Life'!M15</f>
        <v>32.509509761875535</v>
      </c>
      <c r="B15" s="54">
        <f>'Part 6 - Term Life'!N15</f>
        <v>155.77762928174982</v>
      </c>
      <c r="C15" s="55">
        <f>'Part 6 - Term Life'!O15</f>
        <v>365.09529295872125</v>
      </c>
      <c r="D15" s="63">
        <f>'Part 7 - Pure Endowment'!I15</f>
        <v>355.05730317056634</v>
      </c>
      <c r="E15" s="54">
        <f>'Part 7 - Pure Endowment'!J15</f>
        <v>282.66711215475033</v>
      </c>
      <c r="F15" s="55">
        <f>'Part 7 - Pure Endowment'!K15</f>
        <v>169.34736092600039</v>
      </c>
      <c r="H15" s="38">
        <f t="shared" si="2"/>
        <v>387.56681293244185</v>
      </c>
      <c r="I15" s="22">
        <f t="shared" si="0"/>
        <v>438.44474143650018</v>
      </c>
      <c r="J15" s="23">
        <f t="shared" si="1"/>
        <v>534.44265388472161</v>
      </c>
    </row>
    <row r="16" spans="1:15" x14ac:dyDescent="0.2">
      <c r="A16" s="63">
        <f>'Part 6 - Term Life'!M16</f>
        <v>34.760107449136157</v>
      </c>
      <c r="B16" s="54">
        <f>'Part 6 - Term Life'!N16</f>
        <v>157.74949800683527</v>
      </c>
      <c r="C16" s="55">
        <f>'Part 6 - Term Life'!O16</f>
        <v>365.09529295872125</v>
      </c>
      <c r="D16" s="63">
        <f>'Part 7 - Pure Endowment'!I16</f>
        <v>353.49621314190364</v>
      </c>
      <c r="E16" s="54">
        <f>'Part 7 - Pure Endowment'!J16</f>
        <v>281.47442391781044</v>
      </c>
      <c r="F16" s="55">
        <f>'Part 7 - Pure Endowment'!K16</f>
        <v>169.34736092600039</v>
      </c>
      <c r="H16" s="38">
        <f t="shared" si="2"/>
        <v>388.25632059103981</v>
      </c>
      <c r="I16" s="22">
        <f t="shared" si="0"/>
        <v>439.22392192464571</v>
      </c>
      <c r="J16" s="23">
        <f t="shared" si="1"/>
        <v>534.44265388472161</v>
      </c>
    </row>
    <row r="17" spans="1:10" x14ac:dyDescent="0.2">
      <c r="A17" s="63">
        <f>'Part 6 - Term Life'!M17</f>
        <v>37.217478650591545</v>
      </c>
      <c r="B17" s="54">
        <f>'Part 6 - Term Life'!N17</f>
        <v>159.77192746846137</v>
      </c>
      <c r="C17" s="55">
        <f>'Part 6 - Term Life'!O17</f>
        <v>365.09529295872125</v>
      </c>
      <c r="D17" s="63">
        <f>'Part 7 - Pure Endowment'!I17</f>
        <v>351.79315443216842</v>
      </c>
      <c r="E17" s="54">
        <f>'Part 7 - Pure Endowment'!J17</f>
        <v>280.25115393120547</v>
      </c>
      <c r="F17" s="55">
        <f>'Part 7 - Pure Endowment'!K17</f>
        <v>169.34736092600039</v>
      </c>
      <c r="H17" s="38">
        <f t="shared" si="2"/>
        <v>389.01063308275997</v>
      </c>
      <c r="I17" s="22">
        <f t="shared" si="0"/>
        <v>440.02308139966681</v>
      </c>
      <c r="J17" s="23">
        <f t="shared" si="1"/>
        <v>534.44265388472161</v>
      </c>
    </row>
    <row r="18" spans="1:10" x14ac:dyDescent="0.2">
      <c r="A18" s="63">
        <f>'Part 6 - Term Life'!M18</f>
        <v>39.898177771725329</v>
      </c>
      <c r="B18" s="54">
        <f>'Part 6 - Term Life'!N18</f>
        <v>161.84688756545438</v>
      </c>
      <c r="C18" s="55">
        <f>'Part 6 - Term Life'!O18</f>
        <v>365.09529295872125</v>
      </c>
      <c r="D18" s="63">
        <f>'Part 7 - Pure Endowment'!I18</f>
        <v>349.93604742640088</v>
      </c>
      <c r="E18" s="54">
        <f>'Part 7 - Pure Endowment'!J18</f>
        <v>278.99611069819514</v>
      </c>
      <c r="F18" s="55">
        <f>'Part 7 - Pure Endowment'!K18</f>
        <v>169.34736092600039</v>
      </c>
      <c r="H18" s="38">
        <f t="shared" si="2"/>
        <v>389.83422519812621</v>
      </c>
      <c r="I18" s="22">
        <f t="shared" si="0"/>
        <v>440.84299826364952</v>
      </c>
      <c r="J18" s="23">
        <f t="shared" si="1"/>
        <v>534.44265388472161</v>
      </c>
    </row>
    <row r="19" spans="1:10" x14ac:dyDescent="0.2">
      <c r="A19" s="63">
        <f>'Part 6 - Term Life'!M19</f>
        <v>42.832271666085902</v>
      </c>
      <c r="B19" s="54">
        <f>'Part 6 - Term Life'!N19</f>
        <v>163.97645187552615</v>
      </c>
      <c r="C19" s="55">
        <f>'Part 6 - Term Life'!O19</f>
        <v>365.09529295872125</v>
      </c>
      <c r="D19" s="63">
        <f>'Part 7 - Pure Endowment'!I19</f>
        <v>347.90628443604953</v>
      </c>
      <c r="E19" s="54">
        <f>'Part 7 - Pure Endowment'!J19</f>
        <v>277.70804001168455</v>
      </c>
      <c r="F19" s="55">
        <f>'Part 7 - Pure Endowment'!K19</f>
        <v>169.34736092600039</v>
      </c>
      <c r="H19" s="38">
        <f t="shared" si="2"/>
        <v>390.73855610213542</v>
      </c>
      <c r="I19" s="22">
        <f t="shared" si="0"/>
        <v>441.6844918872107</v>
      </c>
      <c r="J19" s="23">
        <f t="shared" si="1"/>
        <v>534.44265388472161</v>
      </c>
    </row>
    <row r="20" spans="1:10" x14ac:dyDescent="0.2">
      <c r="A20" s="63">
        <f>'Part 6 - Term Life'!M20</f>
        <v>46.02808639729804</v>
      </c>
      <c r="B20" s="54">
        <f>'Part 6 - Term Life'!N20</f>
        <v>166.1628045671998</v>
      </c>
      <c r="C20" s="55">
        <f>'Part 6 - Term Life'!O20</f>
        <v>365.09529295872125</v>
      </c>
      <c r="D20" s="63">
        <f>'Part 7 - Pure Endowment'!I20</f>
        <v>345.69635973579432</v>
      </c>
      <c r="E20" s="54">
        <f>'Part 7 - Pure Endowment'!J20</f>
        <v>276.38562077353367</v>
      </c>
      <c r="F20" s="55">
        <f>'Part 7 - Pure Endowment'!K20</f>
        <v>169.34736092600039</v>
      </c>
      <c r="H20" s="38">
        <f t="shared" si="2"/>
        <v>391.72444613309233</v>
      </c>
      <c r="I20" s="22">
        <f t="shared" si="0"/>
        <v>442.5484253407335</v>
      </c>
      <c r="J20" s="23">
        <f t="shared" si="1"/>
        <v>534.44265388472161</v>
      </c>
    </row>
    <row r="21" spans="1:10" x14ac:dyDescent="0.2">
      <c r="A21" s="63">
        <f>'Part 6 - Term Life'!M21</f>
        <v>49.516458181340084</v>
      </c>
      <c r="B21" s="54">
        <f>'Part 6 - Term Life'!N21</f>
        <v>168.40824787216195</v>
      </c>
      <c r="C21" s="55">
        <f>'Part 6 - Term Life'!O21</f>
        <v>365.09529295872125</v>
      </c>
      <c r="D21" s="63">
        <f>'Part 7 - Pure Endowment'!I21</f>
        <v>343.28893110408092</v>
      </c>
      <c r="E21" s="54">
        <f>'Part 7 - Pure Endowment'!J21</f>
        <v>275.02746047489222</v>
      </c>
      <c r="F21" s="55">
        <f>'Part 7 - Pure Endowment'!K21</f>
        <v>169.34736092600039</v>
      </c>
      <c r="H21" s="38">
        <f t="shared" si="2"/>
        <v>392.80538928542103</v>
      </c>
      <c r="I21" s="22">
        <f t="shared" si="0"/>
        <v>443.43570834705417</v>
      </c>
      <c r="J21" s="23">
        <f t="shared" si="1"/>
        <v>534.44265388472161</v>
      </c>
    </row>
    <row r="22" spans="1:10" x14ac:dyDescent="0.2">
      <c r="A22" s="63">
        <f>'Part 6 - Term Life'!M22</f>
        <v>53.313438927977927</v>
      </c>
      <c r="B22" s="54">
        <f>'Part 6 - Term Life'!N22</f>
        <v>170.71521017178063</v>
      </c>
      <c r="C22" s="55">
        <f>'Part 6 - Term Life'!O22</f>
        <v>365.09529295872125</v>
      </c>
      <c r="D22" s="63">
        <f>'Part 7 - Pure Endowment'!I22</f>
        <v>340.6708997512838</v>
      </c>
      <c r="E22" s="54">
        <f>'Part 7 - Pure Endowment'!J22</f>
        <v>273.6320903050551</v>
      </c>
      <c r="F22" s="55">
        <f>'Part 7 - Pure Endowment'!K22</f>
        <v>169.34736092600039</v>
      </c>
      <c r="H22" s="38">
        <f t="shared" si="2"/>
        <v>393.98433867926173</v>
      </c>
      <c r="I22" s="22">
        <f t="shared" si="0"/>
        <v>444.3473004768357</v>
      </c>
      <c r="J22" s="23">
        <f t="shared" si="1"/>
        <v>534.44265388472161</v>
      </c>
    </row>
    <row r="23" spans="1:10" x14ac:dyDescent="0.2">
      <c r="A23" s="63">
        <f>'Part 6 - Term Life'!M23</f>
        <v>57.448017309200537</v>
      </c>
      <c r="B23" s="54">
        <f>'Part 6 - Term Life'!N23</f>
        <v>173.0862547574998</v>
      </c>
      <c r="C23" s="55">
        <f>'Part 6 - Term Life'!O23</f>
        <v>365.09529295872125</v>
      </c>
      <c r="D23" s="63">
        <f>'Part 7 - Pure Endowment'!I23</f>
        <v>337.82321171864373</v>
      </c>
      <c r="E23" s="54">
        <f>'Part 7 - Pure Endowment'!J23</f>
        <v>272.19795985272253</v>
      </c>
      <c r="F23" s="55">
        <f>'Part 7 - Pure Endowment'!K23</f>
        <v>169.34736092600039</v>
      </c>
      <c r="H23" s="38">
        <f t="shared" si="2"/>
        <v>395.27122902784424</v>
      </c>
      <c r="I23" s="22">
        <f t="shared" si="0"/>
        <v>445.28421461022231</v>
      </c>
      <c r="J23" s="23">
        <f t="shared" si="1"/>
        <v>534.44265388472161</v>
      </c>
    </row>
    <row r="24" spans="1:10" x14ac:dyDescent="0.2">
      <c r="A24" s="63">
        <f>'Part 6 - Term Life'!M24</f>
        <v>61.952956651024294</v>
      </c>
      <c r="B24" s="54">
        <f>'Part 6 - Term Life'!N24</f>
        <v>175.52408933154911</v>
      </c>
      <c r="C24" s="55">
        <f>'Part 6 - Term Life'!O24</f>
        <v>365.09529295872125</v>
      </c>
      <c r="D24" s="63">
        <f>'Part 7 - Pure Endowment'!I24</f>
        <v>334.72459970422312</v>
      </c>
      <c r="E24" s="54">
        <f>'Part 7 - Pure Endowment'!J24</f>
        <v>270.72343135947921</v>
      </c>
      <c r="F24" s="55">
        <f>'Part 7 - Pure Endowment'!K24</f>
        <v>169.34736092600039</v>
      </c>
      <c r="H24" s="38">
        <f t="shared" si="2"/>
        <v>396.67755635524742</v>
      </c>
      <c r="I24" s="22">
        <f t="shared" si="0"/>
        <v>446.24752069102829</v>
      </c>
      <c r="J24" s="23">
        <f t="shared" si="1"/>
        <v>534.44265388472161</v>
      </c>
    </row>
    <row r="25" spans="1:10" x14ac:dyDescent="0.2">
      <c r="A25" s="63">
        <f>'Part 6 - Term Life'!M25</f>
        <v>66.8486353838409</v>
      </c>
      <c r="B25" s="54">
        <f>'Part 6 - Term Life'!N25</f>
        <v>178.03157632199981</v>
      </c>
      <c r="C25" s="55">
        <f>'Part 6 - Term Life'!O25</f>
        <v>365.09529295872125</v>
      </c>
      <c r="D25" s="63">
        <f>'Part 7 - Pure Endowment'!I25</f>
        <v>331.36191623817501</v>
      </c>
      <c r="E25" s="54">
        <f>'Part 7 - Pure Endowment'!J25</f>
        <v>269.20677348071462</v>
      </c>
      <c r="F25" s="55">
        <f>'Part 7 - Pure Endowment'!K25</f>
        <v>169.34736092600039</v>
      </c>
      <c r="H25" s="38">
        <f t="shared" si="2"/>
        <v>398.21055162201594</v>
      </c>
      <c r="I25" s="22">
        <f t="shared" si="0"/>
        <v>447.23834980271442</v>
      </c>
      <c r="J25" s="23">
        <f t="shared" si="1"/>
        <v>534.44265388472161</v>
      </c>
    </row>
    <row r="26" spans="1:10" x14ac:dyDescent="0.2">
      <c r="A26" s="63">
        <f>'Part 6 - Term Life'!M26</f>
        <v>72.171243176500866</v>
      </c>
      <c r="B26" s="54">
        <f>'Part 6 - Term Life'!N26</f>
        <v>180.61174409478241</v>
      </c>
      <c r="C26" s="55">
        <f>'Part 6 - Term Life'!O26</f>
        <v>365.09529295872125</v>
      </c>
      <c r="D26" s="63">
        <f>'Part 7 - Pure Endowment'!I26</f>
        <v>327.71341957716231</v>
      </c>
      <c r="E26" s="54">
        <f>'Part 7 - Pure Endowment'!J26</f>
        <v>267.64615450401482</v>
      </c>
      <c r="F26" s="55">
        <f>'Part 7 - Pure Endowment'!K26</f>
        <v>169.34736092600039</v>
      </c>
      <c r="H26" s="38">
        <f t="shared" si="2"/>
        <v>399.88466275366318</v>
      </c>
      <c r="I26" s="22">
        <f t="shared" si="0"/>
        <v>448.25789859879723</v>
      </c>
      <c r="J26" s="23">
        <f t="shared" si="1"/>
        <v>534.44265388472161</v>
      </c>
    </row>
    <row r="27" spans="1:10" x14ac:dyDescent="0.2">
      <c r="A27" s="63">
        <f>'Part 6 - Term Life'!M27</f>
        <v>77.951077975546184</v>
      </c>
      <c r="B27" s="54">
        <f>'Part 6 - Term Life'!N27</f>
        <v>183.26779915499981</v>
      </c>
      <c r="C27" s="55">
        <f>'Part 6 - Term Life'!O27</f>
        <v>365.09529295872125</v>
      </c>
      <c r="D27" s="63">
        <f>'Part 7 - Pure Endowment'!I27</f>
        <v>323.75924369552172</v>
      </c>
      <c r="E27" s="54">
        <f>'Part 7 - Pure Endowment'!J27</f>
        <v>266.03963496917675</v>
      </c>
      <c r="F27" s="55">
        <f>'Part 7 - Pure Endowment'!K27</f>
        <v>169.34736092600039</v>
      </c>
      <c r="H27" s="38">
        <f t="shared" si="2"/>
        <v>401.7103216710679</v>
      </c>
      <c r="I27" s="22">
        <f t="shared" si="0"/>
        <v>449.30743412417655</v>
      </c>
      <c r="J27" s="23">
        <f t="shared" si="1"/>
        <v>534.44265388472161</v>
      </c>
    </row>
    <row r="28" spans="1:10" x14ac:dyDescent="0.2">
      <c r="A28" s="63">
        <f>'Part 6 - Term Life'!M28</f>
        <v>84.221316498852417</v>
      </c>
      <c r="B28" s="54">
        <f>'Part 6 - Term Life'!N28</f>
        <v>186.00313944089532</v>
      </c>
      <c r="C28" s="55">
        <f>'Part 6 - Term Life'!O28</f>
        <v>365.09529295872125</v>
      </c>
      <c r="D28" s="63">
        <f>'Part 7 - Pure Endowment'!I28</f>
        <v>319.47839815789439</v>
      </c>
      <c r="E28" s="54">
        <f>'Part 7 - Pure Endowment'!J28</f>
        <v>264.38515962732868</v>
      </c>
      <c r="F28" s="55">
        <f>'Part 7 - Pure Endowment'!K28</f>
        <v>169.34736092600039</v>
      </c>
      <c r="H28" s="38">
        <f t="shared" si="2"/>
        <v>403.69971465674678</v>
      </c>
      <c r="I28" s="22">
        <f t="shared" si="0"/>
        <v>450.388299068224</v>
      </c>
      <c r="J28" s="23">
        <f t="shared" si="1"/>
        <v>534.44265388472161</v>
      </c>
    </row>
    <row r="29" spans="1:10" x14ac:dyDescent="0.2">
      <c r="A29" s="63">
        <f>'Part 6 - Term Life'!M29</f>
        <v>91.017757167514532</v>
      </c>
      <c r="B29" s="54">
        <f>'Part 6 - Term Life'!N29</f>
        <v>188.82136882636343</v>
      </c>
      <c r="C29" s="55">
        <f>'Part 6 - Term Life'!O29</f>
        <v>365.09529295872125</v>
      </c>
      <c r="D29" s="63">
        <f>'Part 7 - Pure Endowment'!I29</f>
        <v>314.84920566632331</v>
      </c>
      <c r="E29" s="54">
        <f>'Part 7 - Pure Endowment'!J29</f>
        <v>262.6805486690609</v>
      </c>
      <c r="F29" s="55">
        <f>'Part 7 - Pure Endowment'!K29</f>
        <v>169.34736092600039</v>
      </c>
      <c r="H29" s="38">
        <f t="shared" si="2"/>
        <v>405.86696283383787</v>
      </c>
      <c r="I29" s="22">
        <f t="shared" si="0"/>
        <v>451.50191749542432</v>
      </c>
      <c r="J29" s="23">
        <f t="shared" si="1"/>
        <v>534.44265388472161</v>
      </c>
    </row>
    <row r="30" spans="1:10" x14ac:dyDescent="0.2">
      <c r="A30" s="63">
        <f>'Part 6 - Term Life'!M30</f>
        <v>98.369452188114735</v>
      </c>
      <c r="B30" s="54">
        <f>'Part 6 - Term Life'!N30</f>
        <v>191.72631296215366</v>
      </c>
      <c r="C30" s="55">
        <f>'Part 6 - Term Life'!O30</f>
        <v>365.09529295872125</v>
      </c>
      <c r="D30" s="63">
        <f>'Part 7 - Pure Endowment'!I30</f>
        <v>309.8529034434921</v>
      </c>
      <c r="E30" s="54">
        <f>'Part 7 - Pure Endowment'!J30</f>
        <v>260.92348814284645</v>
      </c>
      <c r="F30" s="55">
        <f>'Part 7 - Pure Endowment'!K30</f>
        <v>169.34736092600039</v>
      </c>
      <c r="H30" s="38">
        <f t="shared" si="2"/>
        <v>408.22235563160683</v>
      </c>
      <c r="I30" s="22">
        <f t="shared" si="0"/>
        <v>452.64980110500011</v>
      </c>
      <c r="J30" s="23">
        <f t="shared" si="1"/>
        <v>534.44265388472161</v>
      </c>
    </row>
    <row r="31" spans="1:10" x14ac:dyDescent="0.2">
      <c r="A31" s="63">
        <f>'Part 6 - Term Life'!M31</f>
        <v>106.19482684493806</v>
      </c>
      <c r="B31" s="54">
        <f>'Part 6 - Term Life'!N31</f>
        <v>194.72203660218727</v>
      </c>
      <c r="C31" s="55">
        <f>'Part 6 - Term Life'!O31</f>
        <v>365.09529295872125</v>
      </c>
      <c r="D31" s="63">
        <f>'Part 7 - Pure Endowment'!I31</f>
        <v>304.58913725246413</v>
      </c>
      <c r="E31" s="54">
        <f>'Part 7 - Pure Endowment'!J31</f>
        <v>259.11151947518778</v>
      </c>
      <c r="F31" s="55">
        <f>'Part 7 - Pure Endowment'!K31</f>
        <v>169.34736092600039</v>
      </c>
      <c r="H31" s="38">
        <f t="shared" si="2"/>
        <v>410.78396409740219</v>
      </c>
      <c r="I31" s="22">
        <f t="shared" si="0"/>
        <v>453.83355607737508</v>
      </c>
      <c r="J31" s="23">
        <f t="shared" si="1"/>
        <v>534.44265388472161</v>
      </c>
    </row>
    <row r="32" spans="1:10" x14ac:dyDescent="0.2">
      <c r="A32" s="63">
        <f>'Part 6 - Term Life'!M32</f>
        <v>114.90246859697643</v>
      </c>
      <c r="B32" s="54">
        <f>'Part 6 - Term Life'!N32</f>
        <v>197.81286257999977</v>
      </c>
      <c r="C32" s="55">
        <f>'Part 6 - Term Life'!O32</f>
        <v>365.09529295872125</v>
      </c>
      <c r="D32" s="63">
        <f>'Part 7 - Pure Endowment'!I32</f>
        <v>298.66370705975334</v>
      </c>
      <c r="E32" s="54">
        <f>'Part 7 - Pure Endowment'!J32</f>
        <v>257.24202799268284</v>
      </c>
      <c r="F32" s="55">
        <f>'Part 7 - Pure Endowment'!K32</f>
        <v>169.34736092600039</v>
      </c>
      <c r="H32" s="38">
        <f t="shared" si="2"/>
        <v>413.5661756567298</v>
      </c>
      <c r="I32" s="22">
        <f t="shared" si="0"/>
        <v>455.05489057268261</v>
      </c>
      <c r="J32" s="23">
        <f t="shared" si="1"/>
        <v>534.44265388472161</v>
      </c>
    </row>
    <row r="33" spans="1:10" x14ac:dyDescent="0.2">
      <c r="A33" s="63">
        <f>'Part 6 - Term Life'!M33</f>
        <v>124.16420191535087</v>
      </c>
      <c r="B33" s="54">
        <f>'Part 6 - Term Life'!N33</f>
        <v>201.00339262161268</v>
      </c>
      <c r="C33" s="55">
        <f>'Part 6 - Term Life'!O33</f>
        <v>365.09529295872125</v>
      </c>
      <c r="D33" s="63">
        <f>'Part 7 - Pure Endowment'!I33</f>
        <v>292.42841878368506</v>
      </c>
      <c r="E33" s="54">
        <f>'Part 7 - Pure Endowment'!J33</f>
        <v>255.3122303333229</v>
      </c>
      <c r="F33" s="55">
        <f>'Part 7 - Pure Endowment'!K33</f>
        <v>169.34736092600039</v>
      </c>
      <c r="H33" s="38">
        <f t="shared" si="2"/>
        <v>416.59262069903593</v>
      </c>
      <c r="I33" s="22">
        <f t="shared" si="0"/>
        <v>456.31562295493558</v>
      </c>
      <c r="J33" s="23">
        <f t="shared" si="1"/>
        <v>534.44265388472161</v>
      </c>
    </row>
    <row r="34" spans="1:10" x14ac:dyDescent="0.2">
      <c r="A34" s="63">
        <f>'Part 6 - Term Life'!M34</f>
        <v>134.1350383624638</v>
      </c>
      <c r="B34" s="54">
        <f>'Part 6 - Term Life'!N34</f>
        <v>204.29853020557354</v>
      </c>
      <c r="C34" s="55">
        <f>'Part 6 - Term Life'!O34</f>
        <v>365.09529295872125</v>
      </c>
      <c r="D34" s="63">
        <f>'Part 7 - Pure Endowment'!I34</f>
        <v>285.74197256742633</v>
      </c>
      <c r="E34" s="54">
        <f>'Part 7 - Pure Endowment'!J34</f>
        <v>253.31916061955766</v>
      </c>
      <c r="F34" s="55">
        <f>'Part 7 - Pure Endowment'!K34</f>
        <v>169.34736092600039</v>
      </c>
      <c r="H34" s="38">
        <f t="shared" si="2"/>
        <v>419.87701092989016</v>
      </c>
      <c r="I34" s="22">
        <f t="shared" si="0"/>
        <v>457.61769082513121</v>
      </c>
      <c r="J34" s="23">
        <f t="shared" si="1"/>
        <v>534.44265388472161</v>
      </c>
    </row>
    <row r="35" spans="1:10" x14ac:dyDescent="0.2">
      <c r="A35" s="63">
        <f>'Part 6 - Term Life'!M35</f>
        <v>144.85065858332459</v>
      </c>
      <c r="B35" s="54">
        <f>'Part 6 - Term Life'!N35</f>
        <v>207.70350570899978</v>
      </c>
      <c r="C35" s="55">
        <f>'Part 6 - Term Life'!O35</f>
        <v>365.09529295872125</v>
      </c>
      <c r="D35" s="63">
        <f>'Part 7 - Pure Endowment'!I35</f>
        <v>278.5850633062056</v>
      </c>
      <c r="E35" s="54">
        <f>'Part 7 - Pure Endowment'!J35</f>
        <v>251.25965524866695</v>
      </c>
      <c r="F35" s="55">
        <f>'Part 7 - Pure Endowment'!K35</f>
        <v>169.34736092600039</v>
      </c>
      <c r="H35" s="38">
        <f t="shared" si="2"/>
        <v>423.43572188953021</v>
      </c>
      <c r="I35" s="22">
        <f t="shared" si="0"/>
        <v>458.96316095766673</v>
      </c>
      <c r="J35" s="23">
        <f t="shared" si="1"/>
        <v>534.44265388472161</v>
      </c>
    </row>
    <row r="36" spans="1:10" x14ac:dyDescent="0.2">
      <c r="A36" s="63">
        <f>'Part 6 - Term Life'!M36</f>
        <v>156.34218967587191</v>
      </c>
      <c r="B36" s="54">
        <f>'Part 6 - Term Life'!N36</f>
        <v>211.22390411084723</v>
      </c>
      <c r="C36" s="55">
        <f>'Part 6 - Term Life'!O36</f>
        <v>365.09529295872125</v>
      </c>
      <c r="D36" s="63">
        <f>'Part 7 - Pure Endowment'!I36</f>
        <v>270.94560891045552</v>
      </c>
      <c r="E36" s="54">
        <f>'Part 7 - Pure Endowment'!J36</f>
        <v>249.13033613639013</v>
      </c>
      <c r="F36" s="55">
        <f>'Part 7 - Pure Endowment'!K36</f>
        <v>169.34736092600039</v>
      </c>
      <c r="H36" s="38">
        <f t="shared" si="2"/>
        <v>427.28779858632743</v>
      </c>
      <c r="I36" s="22">
        <f t="shared" si="0"/>
        <v>460.35424024723739</v>
      </c>
      <c r="J36" s="23">
        <f t="shared" si="1"/>
        <v>534.44265388472161</v>
      </c>
    </row>
    <row r="37" spans="1:10" x14ac:dyDescent="0.2">
      <c r="A37" s="63">
        <f>'Part 6 - Term Life'!M37</f>
        <v>168.64649745240317</v>
      </c>
      <c r="B37" s="54">
        <f>'Part 6 - Term Life'!N37</f>
        <v>214.86569556103424</v>
      </c>
      <c r="C37" s="55">
        <f>'Part 6 - Term Life'!O37</f>
        <v>365.09529295872125</v>
      </c>
      <c r="D37" s="63">
        <f>'Part 7 - Pure Endowment'!I37</f>
        <v>262.80835074313325</v>
      </c>
      <c r="E37" s="54">
        <f>'Part 7 - Pure Endowment'!J37</f>
        <v>246.92759222713823</v>
      </c>
      <c r="F37" s="55">
        <f>'Part 7 - Pure Endowment'!K37</f>
        <v>169.34736092600039</v>
      </c>
      <c r="H37" s="38">
        <f t="shared" si="2"/>
        <v>431.45484819553644</v>
      </c>
      <c r="I37" s="22">
        <f t="shared" si="0"/>
        <v>461.79328778817251</v>
      </c>
      <c r="J37" s="23">
        <f t="shared" si="1"/>
        <v>534.44265388472161</v>
      </c>
    </row>
    <row r="38" spans="1:10" x14ac:dyDescent="0.2">
      <c r="A38" s="63">
        <f>'Part 6 - Term Life'!M38</f>
        <v>181.78835400890827</v>
      </c>
      <c r="B38" s="54">
        <f>'Part 6 - Term Life'!N38</f>
        <v>218.63526916736819</v>
      </c>
      <c r="C38" s="55">
        <f>'Part 6 - Term Life'!O38</f>
        <v>365.09529295872125</v>
      </c>
      <c r="D38" s="63">
        <f>'Part 7 - Pure Endowment'!I38</f>
        <v>254.16743087992344</v>
      </c>
      <c r="E38" s="54">
        <f>'Part 7 - Pure Endowment'!J38</f>
        <v>244.64755905791259</v>
      </c>
      <c r="F38" s="55">
        <f>'Part 7 - Pure Endowment'!K38</f>
        <v>169.34736092600039</v>
      </c>
      <c r="H38" s="38">
        <f t="shared" si="2"/>
        <v>435.95578488883172</v>
      </c>
      <c r="I38" s="22">
        <f t="shared" si="0"/>
        <v>463.28282822528081</v>
      </c>
      <c r="J38" s="23">
        <f t="shared" si="1"/>
        <v>534.44265388472161</v>
      </c>
    </row>
    <row r="39" spans="1:10" x14ac:dyDescent="0.2">
      <c r="A39" s="63">
        <f>'Part 6 - Term Life'!M39</f>
        <v>195.78728911796875</v>
      </c>
      <c r="B39" s="54">
        <f>'Part 6 - Term Life'!N39</f>
        <v>222.53947040249975</v>
      </c>
      <c r="C39" s="55">
        <f>'Part 6 - Term Life'!O39</f>
        <v>365.09529295872125</v>
      </c>
      <c r="D39" s="63">
        <f>'Part 7 - Pure Endowment'!I39</f>
        <v>245.01922686244004</v>
      </c>
      <c r="E39" s="54">
        <f>'Part 7 - Pure Endowment'!J39</f>
        <v>242.28609613264317</v>
      </c>
      <c r="F39" s="55">
        <f>'Part 7 - Pure Endowment'!K39</f>
        <v>169.34736092600039</v>
      </c>
      <c r="H39" s="38">
        <f t="shared" si="2"/>
        <v>440.80651598040879</v>
      </c>
      <c r="I39" s="22">
        <f t="shared" si="0"/>
        <v>464.82556653514291</v>
      </c>
      <c r="J39" s="23">
        <f t="shared" si="1"/>
        <v>534.44265388472161</v>
      </c>
    </row>
    <row r="40" spans="1:10" x14ac:dyDescent="0.2">
      <c r="A40" s="63">
        <f>'Part 6 - Term Life'!M40</f>
        <v>210.66438775180407</v>
      </c>
      <c r="B40" s="54">
        <f>'Part 6 - Term Life'!N40</f>
        <v>226.58564259163612</v>
      </c>
      <c r="C40" s="55">
        <f>'Part 6 - Term Life'!O40</f>
        <v>365.09529295872125</v>
      </c>
      <c r="D40" s="63">
        <f>'Part 7 - Pure Endowment'!I40</f>
        <v>235.36678958576474</v>
      </c>
      <c r="E40" s="54">
        <f>'Part 7 - Pure Endowment'!J40</f>
        <v>239.83876182827302</v>
      </c>
      <c r="F40" s="55">
        <f>'Part 7 - Pure Endowment'!K40</f>
        <v>169.34736092600039</v>
      </c>
      <c r="H40" s="38">
        <f t="shared" si="2"/>
        <v>446.03117733756881</v>
      </c>
      <c r="I40" s="22">
        <f t="shared" si="0"/>
        <v>466.42440441990914</v>
      </c>
      <c r="J40" s="23">
        <f t="shared" si="1"/>
        <v>534.44265388472161</v>
      </c>
    </row>
    <row r="41" spans="1:10" x14ac:dyDescent="0.2">
      <c r="A41" s="63">
        <f>'Part 6 - Term Life'!M41</f>
        <v>226.43255216044025</v>
      </c>
      <c r="B41" s="54">
        <f>'Part 6 - Term Life'!N41</f>
        <v>230.78167300999974</v>
      </c>
      <c r="C41" s="55">
        <f>'Part 6 - Term Life'!O41</f>
        <v>365.09529295872125</v>
      </c>
      <c r="D41" s="63">
        <f>'Part 7 - Pure Endowment'!I41</f>
        <v>225.21863923966393</v>
      </c>
      <c r="E41" s="54">
        <f>'Part 7 - Pure Endowment'!J41</f>
        <v>237.30078551262991</v>
      </c>
      <c r="F41" s="55">
        <f>'Part 7 - Pure Endowment'!K41</f>
        <v>169.34736092600039</v>
      </c>
      <c r="H41" s="38">
        <f t="shared" si="2"/>
        <v>451.65119140010415</v>
      </c>
      <c r="I41" s="22">
        <f t="shared" si="0"/>
        <v>468.08245852262962</v>
      </c>
      <c r="J41" s="23">
        <f t="shared" si="1"/>
        <v>534.44265388472161</v>
      </c>
    </row>
    <row r="42" spans="1:10" x14ac:dyDescent="0.2">
      <c r="A42" s="63">
        <f>'Part 6 - Term Life'!M42</f>
        <v>243.09242749439611</v>
      </c>
      <c r="B42" s="54">
        <f>'Part 6 - Term Life'!N42</f>
        <v>235.13604419886767</v>
      </c>
      <c r="C42" s="55">
        <f>'Part 6 - Term Life'!O42</f>
        <v>365.09529295872125</v>
      </c>
      <c r="D42" s="63">
        <f>'Part 7 - Pure Endowment'!I42</f>
        <v>214.59282270315592</v>
      </c>
      <c r="E42" s="54">
        <f>'Part 7 - Pure Endowment'!J42</f>
        <v>234.66703650583045</v>
      </c>
      <c r="F42" s="55">
        <f>'Part 7 - Pure Endowment'!K42</f>
        <v>169.34736092600039</v>
      </c>
      <c r="H42" s="38">
        <f t="shared" si="2"/>
        <v>457.68525019755202</v>
      </c>
      <c r="I42" s="22">
        <f t="shared" si="0"/>
        <v>469.80308070469812</v>
      </c>
      <c r="J42" s="23">
        <f t="shared" si="1"/>
        <v>534.44265388472161</v>
      </c>
    </row>
    <row r="43" spans="1:10" x14ac:dyDescent="0.2">
      <c r="A43" s="63">
        <f>'Part 6 - Term Life'!M43</f>
        <v>260.6310357733596</v>
      </c>
      <c r="B43" s="54">
        <f>'Part 6 - Term Life'!N43</f>
        <v>239.65789120269204</v>
      </c>
      <c r="C43" s="55">
        <f>'Part 6 - Term Life'!O43</f>
        <v>365.09529295872125</v>
      </c>
      <c r="D43" s="63">
        <f>'Part 7 - Pure Endowment'!I43</f>
        <v>203.51809961675519</v>
      </c>
      <c r="E43" s="54">
        <f>'Part 7 - Pure Endowment'!J43</f>
        <v>231.93198946030796</v>
      </c>
      <c r="F43" s="55">
        <f>'Part 7 - Pure Endowment'!K43</f>
        <v>169.34736092600039</v>
      </c>
      <c r="H43" s="38">
        <f t="shared" si="2"/>
        <v>464.14913539011479</v>
      </c>
      <c r="I43" s="22">
        <f t="shared" si="0"/>
        <v>471.58988066300003</v>
      </c>
      <c r="J43" s="23">
        <f t="shared" si="1"/>
        <v>534.44265388472161</v>
      </c>
    </row>
    <row r="44" spans="1:10" x14ac:dyDescent="0.2">
      <c r="A44" s="63">
        <f>'Part 6 - Term Life'!M44</f>
        <v>279.02470805245605</v>
      </c>
      <c r="B44" s="54">
        <f>'Part 6 - Term Life'!N44</f>
        <v>244.35706553999972</v>
      </c>
      <c r="C44" s="55">
        <f>'Part 6 - Term Life'!O44</f>
        <v>365.09529295872125</v>
      </c>
      <c r="D44" s="63">
        <f>'Part 7 - Pure Endowment'!I44</f>
        <v>192.03080193194626</v>
      </c>
      <c r="E44" s="54">
        <f>'Part 7 - Pure Endowment'!J44</f>
        <v>229.08968566790222</v>
      </c>
      <c r="F44" s="55">
        <f>'Part 7 - Pure Endowment'!K44</f>
        <v>169.34736092600039</v>
      </c>
      <c r="H44" s="38">
        <f t="shared" si="2"/>
        <v>471.05550998440231</v>
      </c>
      <c r="I44" s="22">
        <f t="shared" si="0"/>
        <v>473.44675120790191</v>
      </c>
      <c r="J44" s="23">
        <f t="shared" si="1"/>
        <v>534.44265388472161</v>
      </c>
    </row>
    <row r="45" spans="1:10" x14ac:dyDescent="0.2">
      <c r="A45" s="63">
        <f>'Part 6 - Term Life'!M45</f>
        <v>298.24558857298382</v>
      </c>
      <c r="B45" s="54">
        <f>'Part 6 - Term Life'!N45</f>
        <v>249.24420685079974</v>
      </c>
      <c r="C45" s="55">
        <f>'Part 6 - Term Life'!O45</f>
        <v>365.09529295872125</v>
      </c>
      <c r="D45" s="63">
        <f>'Part 7 - Pure Endowment'!I45</f>
        <v>180.17887352572697</v>
      </c>
      <c r="E45" s="54">
        <f>'Part 7 - Pure Endowment'!J45</f>
        <v>226.13368972380027</v>
      </c>
      <c r="F45" s="55">
        <f>'Part 7 - Pure Endowment'!K45</f>
        <v>169.34736092600039</v>
      </c>
      <c r="H45" s="38">
        <f t="shared" si="2"/>
        <v>478.42446209871082</v>
      </c>
      <c r="I45" s="22">
        <f t="shared" si="0"/>
        <v>475.37789657460002</v>
      </c>
      <c r="J45" s="23">
        <f t="shared" si="1"/>
        <v>534.44265388472161</v>
      </c>
    </row>
    <row r="46" spans="1:10" x14ac:dyDescent="0.2">
      <c r="A46" s="63">
        <f>'Part 6 - Term Life'!M46</f>
        <v>318.24528669061158</v>
      </c>
      <c r="B46" s="54">
        <f>'Part 6 - Term Life'!N46</f>
        <v>254.33082331714257</v>
      </c>
      <c r="C46" s="55">
        <f>'Part 6 - Term Life'!O46</f>
        <v>365.09529295872125</v>
      </c>
      <c r="D46" s="63">
        <f>'Part 7 - Pure Endowment'!I46</f>
        <v>168.02249957577379</v>
      </c>
      <c r="E46" s="54">
        <f>'Part 7 - Pure Endowment'!J46</f>
        <v>223.05704088402067</v>
      </c>
      <c r="F46" s="55">
        <f>'Part 7 - Pure Endowment'!K46</f>
        <v>169.34736092600039</v>
      </c>
      <c r="H46" s="38">
        <f t="shared" si="2"/>
        <v>486.26778626638537</v>
      </c>
      <c r="I46" s="22">
        <f t="shared" si="0"/>
        <v>477.38786420116321</v>
      </c>
      <c r="J46" s="23">
        <f t="shared" si="1"/>
        <v>534.44265388472161</v>
      </c>
    </row>
    <row r="47" spans="1:10" x14ac:dyDescent="0.2">
      <c r="A47" s="63">
        <f>'Part 6 - Term Life'!M47</f>
        <v>338.96084517402539</v>
      </c>
      <c r="B47" s="54">
        <f>'Part 6 - Term Life'!N47</f>
        <v>259.62938213624972</v>
      </c>
      <c r="C47" s="55">
        <f>'Part 6 - Term Life'!O47</f>
        <v>365.09529295872125</v>
      </c>
      <c r="D47" s="63">
        <f>'Part 7 - Pure Endowment'!I47</f>
        <v>155.63305994269277</v>
      </c>
      <c r="E47" s="54">
        <f>'Part 7 - Pure Endowment'!J47</f>
        <v>219.85219834258359</v>
      </c>
      <c r="F47" s="55">
        <f>'Part 7 - Pure Endowment'!K47</f>
        <v>169.34736092600039</v>
      </c>
      <c r="H47" s="38">
        <f t="shared" si="2"/>
        <v>494.59390511671813</v>
      </c>
      <c r="I47" s="22">
        <f t="shared" si="0"/>
        <v>479.48158047883328</v>
      </c>
      <c r="J47" s="23">
        <f t="shared" si="1"/>
        <v>534.44265388472161</v>
      </c>
    </row>
    <row r="48" spans="1:10" x14ac:dyDescent="0.2">
      <c r="A48" s="63">
        <f>'Part 6 - Term Life'!M48</f>
        <v>360.31085611704458</v>
      </c>
      <c r="B48" s="54">
        <f>'Part 6 - Term Life'!N48</f>
        <v>265.15341154340393</v>
      </c>
      <c r="C48" s="55">
        <f>'Part 6 - Term Life'!O48</f>
        <v>365.09529295872125</v>
      </c>
      <c r="D48" s="63">
        <f>'Part 7 - Pure Endowment'!I48</f>
        <v>143.09691047515503</v>
      </c>
      <c r="E48" s="54">
        <f>'Part 7 - Pure Endowment'!J48</f>
        <v>216.51097952278747</v>
      </c>
      <c r="F48" s="55">
        <f>'Part 7 - Pure Endowment'!K48</f>
        <v>169.34736092600039</v>
      </c>
      <c r="H48" s="38">
        <f t="shared" si="2"/>
        <v>503.40776659219961</v>
      </c>
      <c r="I48" s="22">
        <f t="shared" si="0"/>
        <v>481.6643910661914</v>
      </c>
      <c r="J48" s="23">
        <f t="shared" si="1"/>
        <v>534.44265388472161</v>
      </c>
    </row>
    <row r="49" spans="1:10" x14ac:dyDescent="0.2">
      <c r="A49" s="63">
        <f>'Part 6 - Term Life'!M49</f>
        <v>382.20232226942306</v>
      </c>
      <c r="B49" s="54">
        <f>'Part 6 - Term Life'!N49</f>
        <v>270.91761614217364</v>
      </c>
      <c r="C49" s="55">
        <f>'Part 6 - Term Life'!O49</f>
        <v>365.09529295872125</v>
      </c>
      <c r="D49" s="63">
        <f>'Part 7 - Pure Endowment'!I49</f>
        <v>130.50825220014437</v>
      </c>
      <c r="E49" s="54">
        <f>'Part 7 - Pure Endowment'!J49</f>
        <v>213.02449031952199</v>
      </c>
      <c r="F49" s="55">
        <f>'Part 7 - Pure Endowment'!K49</f>
        <v>169.34736092600039</v>
      </c>
      <c r="H49" s="38">
        <f t="shared" si="2"/>
        <v>512.7105744695674</v>
      </c>
      <c r="I49" s="22">
        <f t="shared" si="0"/>
        <v>483.94210646169563</v>
      </c>
      <c r="J49" s="23">
        <f t="shared" si="1"/>
        <v>534.44265388472161</v>
      </c>
    </row>
    <row r="50" spans="1:10" x14ac:dyDescent="0.2">
      <c r="A50" s="63">
        <f>'Part 6 - Term Life'!M50</f>
        <v>404.5262744528485</v>
      </c>
      <c r="B50" s="54">
        <f>'Part 6 - Term Life'!N50</f>
        <v>276.93800761199969</v>
      </c>
      <c r="C50" s="55">
        <f>'Part 6 - Term Life'!O50</f>
        <v>365.09529295872125</v>
      </c>
      <c r="D50" s="63">
        <f>'Part 7 - Pure Endowment'!I50</f>
        <v>117.97361395185007</v>
      </c>
      <c r="E50" s="54">
        <f>'Part 7 - Pure Endowment'!J50</f>
        <v>209.3830460405558</v>
      </c>
      <c r="F50" s="55">
        <f>'Part 7 - Pure Endowment'!K50</f>
        <v>169.34736092600039</v>
      </c>
      <c r="H50" s="38">
        <f t="shared" si="2"/>
        <v>522.49988840469859</v>
      </c>
      <c r="I50" s="22">
        <f t="shared" si="0"/>
        <v>486.32105365255552</v>
      </c>
      <c r="J50" s="23">
        <f t="shared" si="1"/>
        <v>534.44265388472161</v>
      </c>
    </row>
    <row r="51" spans="1:10" x14ac:dyDescent="0.2">
      <c r="A51" s="63">
        <f>'Part 6 - Term Life'!M51</f>
        <v>427.38932386320391</v>
      </c>
      <c r="B51" s="54">
        <f>'Part 6 - Term Life'!N51</f>
        <v>283.23205323954517</v>
      </c>
      <c r="C51" s="55">
        <f>'Part 6 - Term Life'!O51</f>
        <v>365.09529295872125</v>
      </c>
      <c r="D51" s="63">
        <f>'Part 7 - Pure Endowment'!I51</f>
        <v>105.56631012721675</v>
      </c>
      <c r="E51" s="54">
        <f>'Part 7 - Pure Endowment'!J51</f>
        <v>205.57608156709114</v>
      </c>
      <c r="F51" s="55">
        <f>'Part 7 - Pure Endowment'!K51</f>
        <v>169.34736092600039</v>
      </c>
      <c r="H51" s="38">
        <f t="shared" si="2"/>
        <v>532.95563399042067</v>
      </c>
      <c r="I51" s="22">
        <f t="shared" si="0"/>
        <v>488.8081348066363</v>
      </c>
      <c r="J51" s="23">
        <f t="shared" si="1"/>
        <v>534.44265388472161</v>
      </c>
    </row>
    <row r="52" spans="1:10" x14ac:dyDescent="0.2">
      <c r="A52" s="63">
        <f>'Part 6 - Term Life'!M52</f>
        <v>449.97942062533872</v>
      </c>
      <c r="B52" s="54">
        <f>'Part 6 - Term Life'!N52</f>
        <v>289.81884517534849</v>
      </c>
      <c r="C52" s="55">
        <f>'Part 6 - Term Life'!O52</f>
        <v>365.09529295872125</v>
      </c>
      <c r="D52" s="63">
        <f>'Part 7 - Pure Endowment'!I52</f>
        <v>93.536127743619019</v>
      </c>
      <c r="E52" s="54">
        <f>'Part 7 - Pure Endowment'!J52</f>
        <v>201.59204897858163</v>
      </c>
      <c r="F52" s="55">
        <f>'Part 7 - Pure Endowment'!K52</f>
        <v>169.34736092600039</v>
      </c>
      <c r="H52" s="38">
        <f t="shared" si="2"/>
        <v>543.51554836895775</v>
      </c>
      <c r="I52" s="22">
        <f t="shared" si="0"/>
        <v>491.41089415393014</v>
      </c>
      <c r="J52" s="23">
        <f t="shared" si="1"/>
        <v>534.44265388472161</v>
      </c>
    </row>
    <row r="53" spans="1:10" x14ac:dyDescent="0.2">
      <c r="A53" s="63">
        <f>'Part 6 - Term Life'!M53</f>
        <v>472.80610066169953</v>
      </c>
      <c r="B53" s="54">
        <f>'Part 6 - Term Life'!N53</f>
        <v>296.71929386999966</v>
      </c>
      <c r="C53" s="55">
        <f>'Part 6 - Term Life'!O53</f>
        <v>365.09529295872125</v>
      </c>
      <c r="D53" s="63">
        <f>'Part 7 - Pure Endowment'!I53</f>
        <v>81.879623562796368</v>
      </c>
      <c r="E53" s="54">
        <f>'Part 7 - Pure Endowment'!J53</f>
        <v>197.41830055252402</v>
      </c>
      <c r="F53" s="55">
        <f>'Part 7 - Pure Endowment'!K53</f>
        <v>169.34736092600039</v>
      </c>
      <c r="H53" s="38">
        <f t="shared" si="2"/>
        <v>554.68572422449586</v>
      </c>
      <c r="I53" s="22">
        <f t="shared" si="0"/>
        <v>494.13759442252365</v>
      </c>
      <c r="J53" s="23">
        <f t="shared" si="1"/>
        <v>534.44265388472161</v>
      </c>
    </row>
    <row r="54" spans="1:10" x14ac:dyDescent="0.2">
      <c r="A54" s="63">
        <f>'Part 6 - Term Life'!M54</f>
        <v>495.51186300938582</v>
      </c>
      <c r="B54" s="54">
        <f>'Part 6 - Term Life'!N54</f>
        <v>303.95634981804841</v>
      </c>
      <c r="C54" s="55">
        <f>'Part 6 - Term Life'!O54</f>
        <v>365.09529295872125</v>
      </c>
      <c r="D54" s="63">
        <f>'Part 7 - Pure Endowment'!I54</f>
        <v>70.760885941541332</v>
      </c>
      <c r="E54" s="54">
        <f>'Part 7 - Pure Endowment'!J54</f>
        <v>193.04095464226853</v>
      </c>
      <c r="F54" s="55">
        <f>'Part 7 - Pure Endowment'!K54</f>
        <v>169.34736092600039</v>
      </c>
      <c r="H54" s="38">
        <f t="shared" si="2"/>
        <v>566.27274895092717</v>
      </c>
      <c r="I54" s="22">
        <f t="shared" si="0"/>
        <v>496.99730446031697</v>
      </c>
      <c r="J54" s="23">
        <f t="shared" si="1"/>
        <v>534.44265388472161</v>
      </c>
    </row>
    <row r="55" spans="1:10" x14ac:dyDescent="0.2">
      <c r="A55" s="63">
        <f>'Part 6 - Term Life'!M55</f>
        <v>517.94206046862996</v>
      </c>
      <c r="B55" s="54">
        <f>'Part 6 - Term Life'!N55</f>
        <v>311.55525856349965</v>
      </c>
      <c r="C55" s="55">
        <f>'Part 6 - Term Life'!O55</f>
        <v>365.09529295872125</v>
      </c>
      <c r="D55" s="63">
        <f>'Part 7 - Pure Endowment'!I55</f>
        <v>60.297414487173967</v>
      </c>
      <c r="E55" s="54">
        <f>'Part 7 - Pure Endowment'!J55</f>
        <v>188.44474143650024</v>
      </c>
      <c r="F55" s="55">
        <f>'Part 7 - Pure Endowment'!K55</f>
        <v>169.34736092600039</v>
      </c>
      <c r="H55" s="38">
        <f t="shared" si="2"/>
        <v>578.23947495580387</v>
      </c>
      <c r="I55" s="22">
        <f t="shared" si="0"/>
        <v>499.99999999999989</v>
      </c>
      <c r="J55" s="23">
        <f t="shared" si="1"/>
        <v>534.44265388472161</v>
      </c>
    </row>
    <row r="56" spans="1:10" x14ac:dyDescent="0.2">
      <c r="A56" s="63">
        <f>'Part 6 - Term Life'!M56</f>
        <v>539.95728928322319</v>
      </c>
      <c r="B56" s="54">
        <f>'Part 6 - Term Life'!N56</f>
        <v>319.54385493692274</v>
      </c>
      <c r="C56" s="55">
        <f>'Part 6 - Term Life'!O56</f>
        <v>365.09529295872125</v>
      </c>
      <c r="D56" s="63">
        <f>'Part 7 - Pure Endowment'!I56</f>
        <v>50.593772940599237</v>
      </c>
      <c r="E56" s="54">
        <f>'Part 7 - Pure Endowment'!J56</f>
        <v>183.61282498941048</v>
      </c>
      <c r="F56" s="55">
        <f>'Part 7 - Pure Endowment'!K56</f>
        <v>169.34736092600039</v>
      </c>
      <c r="H56" s="38">
        <f t="shared" si="2"/>
        <v>590.55106222382244</v>
      </c>
      <c r="I56" s="22">
        <f t="shared" si="0"/>
        <v>503.15667992633325</v>
      </c>
      <c r="J56" s="23">
        <f t="shared" si="1"/>
        <v>534.44265388472161</v>
      </c>
    </row>
    <row r="57" spans="1:10" x14ac:dyDescent="0.2">
      <c r="A57" s="63">
        <f>'Part 6 - Term Life'!M57</f>
        <v>561.42044082024302</v>
      </c>
      <c r="B57" s="54">
        <f>'Part 6 - Term Life'!N57</f>
        <v>327.9529037510523</v>
      </c>
      <c r="C57" s="55">
        <f>'Part 6 - Term Life'!O57</f>
        <v>365.09529295872125</v>
      </c>
      <c r="D57" s="63">
        <f>'Part 7 - Pure Endowment'!I57</f>
        <v>41.739048967441668</v>
      </c>
      <c r="E57" s="54">
        <f>'Part 7 - Pure Endowment'!J57</f>
        <v>178.52659715036864</v>
      </c>
      <c r="F57" s="55">
        <f>'Part 7 - Pure Endowment'!K57</f>
        <v>169.34736092600039</v>
      </c>
      <c r="H57" s="38">
        <f t="shared" si="2"/>
        <v>603.15948978768472</v>
      </c>
      <c r="I57" s="22">
        <f t="shared" si="0"/>
        <v>506.47950090142092</v>
      </c>
      <c r="J57" s="23">
        <f t="shared" si="1"/>
        <v>534.44265388472161</v>
      </c>
    </row>
    <row r="58" spans="1:10" x14ac:dyDescent="0.2">
      <c r="A58" s="63">
        <f>'Part 6 - Term Life'!M58</f>
        <v>582.21620741294964</v>
      </c>
      <c r="B58" s="54">
        <f>'Part 6 - Term Life'!N58</f>
        <v>336.8164957443239</v>
      </c>
      <c r="C58" s="55">
        <f>'Part 6 - Term Life'!O58</f>
        <v>365.09529295872125</v>
      </c>
      <c r="D58" s="63">
        <f>'Part 7 - Pure Endowment'!I58</f>
        <v>33.800902302680619</v>
      </c>
      <c r="E58" s="54">
        <f>'Part 7 - Pure Endowment'!J58</f>
        <v>173.165438076784</v>
      </c>
      <c r="F58" s="55">
        <f>'Part 7 - Pure Endowment'!K58</f>
        <v>169.34736092600039</v>
      </c>
      <c r="H58" s="38">
        <f t="shared" si="2"/>
        <v>616.01710971563023</v>
      </c>
      <c r="I58" s="22">
        <f t="shared" si="0"/>
        <v>509.98193382110787</v>
      </c>
      <c r="J58" s="23">
        <f t="shared" si="1"/>
        <v>534.44265388472161</v>
      </c>
    </row>
    <row r="59" spans="1:10" x14ac:dyDescent="0.2">
      <c r="A59" s="63">
        <f>'Part 6 - Term Life'!M59</f>
        <v>602.24553476766039</v>
      </c>
      <c r="B59" s="54">
        <f>'Part 6 - Term Life'!N59</f>
        <v>346.1725095149996</v>
      </c>
      <c r="C59" s="55">
        <f>'Part 6 - Term Life'!O59</f>
        <v>365.09529295872125</v>
      </c>
      <c r="D59" s="63">
        <f>'Part 7 - Pure Endowment'!I59</f>
        <v>26.820964747629301</v>
      </c>
      <c r="E59" s="54">
        <f>'Part 7 - Pure Endowment'!J59</f>
        <v>167.50643683244465</v>
      </c>
      <c r="F59" s="55">
        <f>'Part 7 - Pure Endowment'!K59</f>
        <v>169.34736092600039</v>
      </c>
      <c r="H59" s="38">
        <f t="shared" si="2"/>
        <v>629.06649951528971</v>
      </c>
      <c r="I59" s="22">
        <f t="shared" si="0"/>
        <v>513.67894634744425</v>
      </c>
      <c r="J59" s="23">
        <f t="shared" si="1"/>
        <v>534.44265388472161</v>
      </c>
    </row>
    <row r="60" spans="1:10" x14ac:dyDescent="0.2">
      <c r="A60" s="63">
        <f>'Part 6 - Term Life'!M60</f>
        <v>621.44122604907466</v>
      </c>
      <c r="B60" s="54">
        <f>'Part 6 - Term Life'!N60</f>
        <v>356.06315264399962</v>
      </c>
      <c r="C60" s="55">
        <f>'Part 6 - Term Life'!O60</f>
        <v>365.09529295872125</v>
      </c>
      <c r="D60" s="63">
        <f>'Part 7 - Pure Endowment'!I60</f>
        <v>20.812577657978899</v>
      </c>
      <c r="E60" s="54">
        <f>'Part 7 - Pure Endowment'!J60</f>
        <v>161.52406408842876</v>
      </c>
      <c r="F60" s="55">
        <f>'Part 7 - Pure Endowment'!K60</f>
        <v>169.34736092600039</v>
      </c>
      <c r="H60" s="38">
        <f t="shared" si="2"/>
        <v>642.25380370705352</v>
      </c>
      <c r="I60" s="22">
        <f t="shared" si="0"/>
        <v>517.58721673242837</v>
      </c>
      <c r="J60" s="23">
        <f t="shared" si="1"/>
        <v>534.44265388472161</v>
      </c>
    </row>
    <row r="61" spans="1:10" x14ac:dyDescent="0.2">
      <c r="A61" s="63">
        <f>'Part 6 - Term Life'!M61</f>
        <v>639.75974219304783</v>
      </c>
      <c r="B61" s="54">
        <f>'Part 6 - Term Life'!N61</f>
        <v>366.53559830999961</v>
      </c>
      <c r="C61" s="55">
        <f>'Part 6 - Term Life'!O61</f>
        <v>365.09529295872125</v>
      </c>
      <c r="D61" s="63">
        <f>'Part 7 - Pure Endowment'!I61</f>
        <v>15.759934926783501</v>
      </c>
      <c r="E61" s="54">
        <f>'Part 7 - Pure Endowment'!J61</f>
        <v>155.18978706535313</v>
      </c>
      <c r="F61" s="55">
        <f>'Part 7 - Pure Endowment'!K61</f>
        <v>169.34736092600039</v>
      </c>
      <c r="H61" s="38">
        <f t="shared" si="2"/>
        <v>655.51967711983139</v>
      </c>
      <c r="I61" s="22">
        <f t="shared" si="0"/>
        <v>521.72538537535274</v>
      </c>
      <c r="J61" s="23">
        <f t="shared" si="1"/>
        <v>534.44265388472161</v>
      </c>
    </row>
    <row r="62" spans="1:10" x14ac:dyDescent="0.2">
      <c r="A62" s="63">
        <f>'Part 6 - Term Life'!M62</f>
        <v>657.18720283526704</v>
      </c>
      <c r="B62" s="54">
        <f>'Part 6 - Term Life'!N62</f>
        <v>377.64273765272685</v>
      </c>
      <c r="C62" s="55">
        <f>'Part 6 - Term Life'!O62</f>
        <v>365.09529295872125</v>
      </c>
      <c r="D62" s="63">
        <f>'Part 7 - Pure Endowment'!I62</f>
        <v>11.617884686575165</v>
      </c>
      <c r="E62" s="54">
        <f>'Part 7 - Pure Endowment'!J62</f>
        <v>148.47161446512138</v>
      </c>
      <c r="F62" s="55">
        <f>'Part 7 - Pure Endowment'!K62</f>
        <v>169.34736092600039</v>
      </c>
      <c r="H62" s="38">
        <f t="shared" si="2"/>
        <v>668.80508752184221</v>
      </c>
      <c r="I62" s="22">
        <f t="shared" si="0"/>
        <v>526.11435211784828</v>
      </c>
      <c r="J62" s="23">
        <f t="shared" si="1"/>
        <v>534.44265388472161</v>
      </c>
    </row>
    <row r="63" spans="1:10" x14ac:dyDescent="0.2">
      <c r="A63" s="63">
        <f>'Part 6 - Term Life'!M63</f>
        <v>673.73729562944425</v>
      </c>
      <c r="B63" s="54">
        <f>'Part 6 - Term Life'!N63</f>
        <v>389.44407320437455</v>
      </c>
      <c r="C63" s="55">
        <f>'Part 6 - Term Life'!O63</f>
        <v>365.09529295872125</v>
      </c>
      <c r="D63" s="63">
        <f>'Part 7 - Pure Endowment'!I63</f>
        <v>8.316212410036103</v>
      </c>
      <c r="E63" s="54">
        <f>'Part 7 - Pure Endowment'!J63</f>
        <v>141.33355607737516</v>
      </c>
      <c r="F63" s="55">
        <f>'Part 7 - Pure Endowment'!K63</f>
        <v>169.34736092600039</v>
      </c>
      <c r="H63" s="38">
        <f t="shared" si="2"/>
        <v>682.05350803948033</v>
      </c>
      <c r="I63" s="22">
        <f t="shared" si="0"/>
        <v>530.77762928174968</v>
      </c>
      <c r="J63" s="23">
        <f t="shared" si="1"/>
        <v>534.44265388472161</v>
      </c>
    </row>
    <row r="64" spans="1:10" x14ac:dyDescent="0.2">
      <c r="A64" s="63">
        <f>'Part 6 - Term Life'!M64</f>
        <v>689.44251538027447</v>
      </c>
      <c r="B64" s="54">
        <f>'Part 6 - Term Life'!N64</f>
        <v>402.00678524322535</v>
      </c>
      <c r="C64" s="55">
        <f>'Part 6 - Term Life'!O64</f>
        <v>365.09529295872125</v>
      </c>
      <c r="D64" s="63">
        <f>'Part 7 - Pure Endowment'!I64</f>
        <v>5.7639146305044173</v>
      </c>
      <c r="E64" s="54">
        <f>'Part 7 - Pure Endowment'!J64</f>
        <v>133.73497779364533</v>
      </c>
      <c r="F64" s="55">
        <f>'Part 7 - Pure Endowment'!K64</f>
        <v>169.34736092600039</v>
      </c>
      <c r="H64" s="38">
        <f t="shared" si="2"/>
        <v>695.20643001077894</v>
      </c>
      <c r="I64" s="22">
        <f t="shared" si="0"/>
        <v>535.74176303687068</v>
      </c>
      <c r="J64" s="23">
        <f t="shared" si="1"/>
        <v>534.44265388472161</v>
      </c>
    </row>
    <row r="65" spans="1:10" x14ac:dyDescent="0.2">
      <c r="A65" s="63">
        <f>'Part 6 - Term Life'!M65</f>
        <v>704.35870805643765</v>
      </c>
      <c r="B65" s="54">
        <f>'Part 6 - Term Life'!N65</f>
        <v>415.40701141799957</v>
      </c>
      <c r="C65" s="55">
        <f>'Part 6 - Term Life'!O65</f>
        <v>365.09529295872125</v>
      </c>
      <c r="D65" s="63">
        <f>'Part 7 - Pure Endowment'!I65</f>
        <v>3.8561313069239658</v>
      </c>
      <c r="E65" s="54">
        <f>'Part 7 - Pure Endowment'!J65</f>
        <v>125.62982762433347</v>
      </c>
      <c r="F65" s="55">
        <f>'Part 7 - Pure Endowment'!K65</f>
        <v>169.34736092600039</v>
      </c>
      <c r="H65" s="38">
        <f t="shared" si="2"/>
        <v>708.21483936336165</v>
      </c>
      <c r="I65" s="22">
        <f t="shared" si="0"/>
        <v>541.03683904233299</v>
      </c>
      <c r="J65" s="23">
        <f t="shared" si="1"/>
        <v>534.44265388472161</v>
      </c>
    </row>
    <row r="66" spans="1:10" x14ac:dyDescent="0.2">
      <c r="A66" s="63">
        <f>'Part 6 - Term Life'!M66</f>
        <v>718.54997039060686</v>
      </c>
      <c r="B66" s="54">
        <f>'Part 6 - Term Life'!N66</f>
        <v>429.73139112206849</v>
      </c>
      <c r="C66" s="55">
        <f>'Part 6 - Term Life'!O66</f>
        <v>365.09529295872125</v>
      </c>
      <c r="D66" s="63">
        <f>'Part 7 - Pure Endowment'!I66</f>
        <v>2.481642924803912</v>
      </c>
      <c r="E66" s="54">
        <f>'Part 7 - Pure Endowment'!J66</f>
        <v>116.96570158127601</v>
      </c>
      <c r="F66" s="55">
        <f>'Part 7 - Pure Endowment'!K66</f>
        <v>169.34736092600039</v>
      </c>
      <c r="H66" s="38">
        <f t="shared" si="2"/>
        <v>721.03161331541082</v>
      </c>
      <c r="I66" s="22">
        <f t="shared" si="0"/>
        <v>546.69709270334454</v>
      </c>
      <c r="J66" s="23">
        <f t="shared" si="1"/>
        <v>534.44265388472161</v>
      </c>
    </row>
    <row r="67" spans="1:10" x14ac:dyDescent="0.2">
      <c r="A67" s="63">
        <f>'Part 6 - Term Life'!M67</f>
        <v>732.08233781434433</v>
      </c>
      <c r="B67" s="54">
        <f>'Part 6 - Term Life'!N67</f>
        <v>445.07894080499949</v>
      </c>
      <c r="C67" s="55">
        <f>'Part 6 - Term Life'!O67</f>
        <v>365.09529295872125</v>
      </c>
      <c r="D67" s="63">
        <f>'Part 7 - Pure Endowment'!I67</f>
        <v>1.5306130328441154</v>
      </c>
      <c r="E67" s="54">
        <f>'Part 7 - Pure Endowment'!J67</f>
        <v>107.68270939228584</v>
      </c>
      <c r="F67" s="55">
        <f>'Part 7 - Pure Endowment'!K67</f>
        <v>169.34736092600039</v>
      </c>
      <c r="H67" s="38">
        <f t="shared" si="2"/>
        <v>733.61295084718847</v>
      </c>
      <c r="I67" s="22">
        <f t="shared" si="0"/>
        <v>552.76165019728535</v>
      </c>
      <c r="J67" s="23">
        <f t="shared" si="1"/>
        <v>534.44265388472161</v>
      </c>
    </row>
    <row r="68" spans="1:10" x14ac:dyDescent="0.2">
      <c r="A68" s="63">
        <f>'Part 6 - Term Life'!M68</f>
        <v>745.02392183167649</v>
      </c>
      <c r="B68" s="54">
        <f>'Part 6 - Term Life'!N68</f>
        <v>461.56334601999947</v>
      </c>
      <c r="C68" s="55">
        <f>'Part 6 - Term Life'!O68</f>
        <v>365.09529295872125</v>
      </c>
      <c r="D68" s="63">
        <f>'Part 7 - Pure Endowment'!I68</f>
        <v>0.90103060909107624</v>
      </c>
      <c r="E68" s="54">
        <f>'Part 7 - Pure Endowment'!J68</f>
        <v>97.712088152259369</v>
      </c>
      <c r="F68" s="55">
        <f>'Part 7 - Pure Endowment'!K68</f>
        <v>169.34736092600039</v>
      </c>
      <c r="H68" s="38">
        <f t="shared" si="2"/>
        <v>745.92495244076758</v>
      </c>
      <c r="I68" s="22">
        <f t="shared" si="0"/>
        <v>559.27543417225888</v>
      </c>
      <c r="J68" s="23">
        <f t="shared" si="1"/>
        <v>534.44265388472161</v>
      </c>
    </row>
    <row r="69" spans="1:10" x14ac:dyDescent="0.2">
      <c r="A69" s="63">
        <f>'Part 6 - Term Life'!M69</f>
        <v>757.42946812272896</v>
      </c>
      <c r="B69" s="54">
        <f>'Part 6 - Term Life'!N69</f>
        <v>479.31578240538408</v>
      </c>
      <c r="C69" s="55">
        <f>'Part 6 - Term Life'!O69</f>
        <v>365.09529295872125</v>
      </c>
      <c r="D69" s="63">
        <f>'Part 7 - Pure Endowment'!I69</f>
        <v>0.50398042408422283</v>
      </c>
      <c r="E69" s="54">
        <f>'Part 7 - Pure Endowment'!J69</f>
        <v>86.974496047615474</v>
      </c>
      <c r="F69" s="55">
        <f>'Part 7 - Pure Endowment'!K69</f>
        <v>169.34736092600039</v>
      </c>
      <c r="H69" s="38">
        <f t="shared" si="2"/>
        <v>757.93344854681322</v>
      </c>
      <c r="I69" s="22">
        <f t="shared" ref="I69:I95" si="3">B69+E69</f>
        <v>566.29027845299959</v>
      </c>
      <c r="J69" s="23">
        <f t="shared" ref="J69:J95" si="4">C69+F69</f>
        <v>534.44265388472161</v>
      </c>
    </row>
    <row r="70" spans="1:10" x14ac:dyDescent="0.2">
      <c r="A70" s="63">
        <f>'Part 6 - Term Life'!M70</f>
        <v>769.34559719350204</v>
      </c>
      <c r="B70" s="54">
        <f>'Part 6 - Term Life'!N70</f>
        <v>498.48841370159948</v>
      </c>
      <c r="C70" s="55">
        <f>'Part 6 - Term Life'!O70</f>
        <v>365.09529295872125</v>
      </c>
      <c r="D70" s="63">
        <f>'Part 7 - Pure Endowment'!I70</f>
        <v>0.26652717940309467</v>
      </c>
      <c r="E70" s="54">
        <f>'Part 7 - Pure Endowment'!J70</f>
        <v>75.377896574600086</v>
      </c>
      <c r="F70" s="55">
        <f>'Part 7 - Pure Endowment'!K70</f>
        <v>169.34736092600039</v>
      </c>
      <c r="H70" s="38">
        <f t="shared" ref="H70:H95" si="5">A70+D70</f>
        <v>769.6121243729051</v>
      </c>
      <c r="I70" s="22">
        <f t="shared" si="3"/>
        <v>573.86631027619956</v>
      </c>
      <c r="J70" s="23">
        <f t="shared" si="4"/>
        <v>534.44265388472161</v>
      </c>
    </row>
    <row r="71" spans="1:10" x14ac:dyDescent="0.2">
      <c r="A71" s="63">
        <f>'Part 6 - Term Life'!M71</f>
        <v>780.80751923302171</v>
      </c>
      <c r="B71" s="54">
        <f>'Part 6 - Term Life'!N71</f>
        <v>519.25876427249943</v>
      </c>
      <c r="C71" s="55">
        <f>'Part 6 - Term Life'!O71</f>
        <v>365.09529295872125</v>
      </c>
      <c r="D71" s="63">
        <f>'Part 7 - Pure Endowment'!I71</f>
        <v>0.13255020184420044</v>
      </c>
      <c r="E71" s="54">
        <f>'Part 7 - Pure Endowment'!J71</f>
        <v>62.814913812166736</v>
      </c>
      <c r="F71" s="55">
        <f>'Part 7 - Pure Endowment'!K71</f>
        <v>169.34736092600039</v>
      </c>
      <c r="H71" s="38">
        <f t="shared" si="5"/>
        <v>780.9400694348659</v>
      </c>
      <c r="I71" s="22">
        <f t="shared" si="3"/>
        <v>582.0736780846662</v>
      </c>
      <c r="J71" s="23">
        <f t="shared" si="4"/>
        <v>534.44265388472161</v>
      </c>
    </row>
    <row r="72" spans="1:10" x14ac:dyDescent="0.2">
      <c r="A72" s="63">
        <f>'Part 6 - Term Life'!M72</f>
        <v>791.83771955915324</v>
      </c>
      <c r="B72" s="54">
        <f>'Part 6 - Term Life'!N72</f>
        <v>541.83523228434728</v>
      </c>
      <c r="C72" s="55">
        <f>'Part 6 - Term Life'!O72</f>
        <v>365.09529295872125</v>
      </c>
      <c r="D72" s="63">
        <f>'Part 7 - Pure Endowment'!I72</f>
        <v>6.1623141372485243E-2</v>
      </c>
      <c r="E72" s="54">
        <f>'Part 7 - Pure Endowment'!J72</f>
        <v>49.159497766043536</v>
      </c>
      <c r="F72" s="55">
        <f>'Part 7 - Pure Endowment'!K72</f>
        <v>169.34736092600039</v>
      </c>
      <c r="H72" s="38">
        <f t="shared" si="5"/>
        <v>791.89934270052572</v>
      </c>
      <c r="I72" s="22">
        <f t="shared" si="3"/>
        <v>590.99473005039079</v>
      </c>
      <c r="J72" s="23">
        <f t="shared" si="4"/>
        <v>534.44265388472161</v>
      </c>
    </row>
    <row r="73" spans="1:10" x14ac:dyDescent="0.2">
      <c r="A73" s="63">
        <f>'Part 6 - Term Life'!M73</f>
        <v>802.45048021723755</v>
      </c>
      <c r="B73" s="54">
        <f>'Part 6 - Term Life'!N73</f>
        <v>566.46410647909033</v>
      </c>
      <c r="C73" s="55">
        <f>'Part 6 - Term Life'!O73</f>
        <v>365.09529295872125</v>
      </c>
      <c r="D73" s="63">
        <f>'Part 7 - Pure Endowment'!I73</f>
        <v>2.6607940776650917E-2</v>
      </c>
      <c r="E73" s="54">
        <f>'Part 7 - Pure Endowment'!J73</f>
        <v>34.262680261181856</v>
      </c>
      <c r="F73" s="55">
        <f>'Part 7 - Pure Endowment'!K73</f>
        <v>169.34736092600039</v>
      </c>
      <c r="H73" s="38">
        <f t="shared" si="5"/>
        <v>802.47708815801423</v>
      </c>
      <c r="I73" s="22">
        <f t="shared" si="3"/>
        <v>600.72678674027225</v>
      </c>
      <c r="J73" s="23">
        <f t="shared" si="4"/>
        <v>534.44265388472161</v>
      </c>
    </row>
    <row r="74" spans="1:10" x14ac:dyDescent="0.2">
      <c r="A74" s="63">
        <f>'Part 6 - Term Life'!M74</f>
        <v>812.65036537246283</v>
      </c>
      <c r="B74" s="54">
        <f>'Part 6 - Term Life'!N74</f>
        <v>593.43858773999932</v>
      </c>
      <c r="C74" s="55">
        <f>'Part 6 - Term Life'!O74</f>
        <v>365.09529295872125</v>
      </c>
      <c r="D74" s="63">
        <f>'Part 7 - Pure Endowment'!I74</f>
        <v>1.0594849482651023E-2</v>
      </c>
      <c r="E74" s="54">
        <f>'Part 7 - Pure Endowment'!J74</f>
        <v>17.947118232047639</v>
      </c>
      <c r="F74" s="55">
        <f>'Part 7 - Pure Endowment'!K74</f>
        <v>169.34736092600039</v>
      </c>
      <c r="H74" s="38">
        <f t="shared" si="5"/>
        <v>812.66096022194552</v>
      </c>
      <c r="I74" s="22">
        <f t="shared" si="3"/>
        <v>611.38570597204694</v>
      </c>
      <c r="J74" s="23">
        <f t="shared" si="4"/>
        <v>534.44265388472161</v>
      </c>
    </row>
    <row r="75" spans="1:10" x14ac:dyDescent="0.2">
      <c r="A75" s="63">
        <f>'Part 6 - Term Life'!M75</f>
        <v>822.43907783787427</v>
      </c>
      <c r="B75" s="54">
        <f>'Part 6 - Term Life'!N75</f>
        <v>623.1105171269993</v>
      </c>
      <c r="C75" s="55">
        <f>'Part 6 - Term Life'!O75</f>
        <v>365.09529295872125</v>
      </c>
      <c r="D75" s="63">
        <f>'Part 7 - Pure Endowment'!I75</f>
        <v>3.8613337666695336E-3</v>
      </c>
      <c r="E75" s="54">
        <f>'Part 7 - Pure Endowment'!J75</f>
        <v>0</v>
      </c>
      <c r="F75" s="55">
        <f>'Part 7 - Pure Endowment'!K75</f>
        <v>169.34736092600039</v>
      </c>
      <c r="H75" s="38">
        <f t="shared" si="5"/>
        <v>822.44293917164089</v>
      </c>
      <c r="I75" s="22">
        <f t="shared" si="3"/>
        <v>623.1105171269993</v>
      </c>
      <c r="J75" s="23">
        <f t="shared" si="4"/>
        <v>534.44265388472161</v>
      </c>
    </row>
    <row r="76" spans="1:10" x14ac:dyDescent="0.2">
      <c r="A76" s="63">
        <f>'Part 6 - Term Life'!M76</f>
        <v>831.81570913811322</v>
      </c>
      <c r="B76" s="54">
        <f>'Part 6 - Term Life'!N76</f>
        <v>655.90580750210461</v>
      </c>
      <c r="C76" s="55">
        <f>'Part 6 - Term Life'!O76</f>
        <v>365.09529295872125</v>
      </c>
      <c r="D76" s="63">
        <f>'Part 7 - Pure Endowment'!I76</f>
        <v>1.2762587957263678E-3</v>
      </c>
      <c r="E76" s="54">
        <f>'Part 7 - Pure Endowment'!J76</f>
        <v>0</v>
      </c>
      <c r="F76" s="55">
        <f>'Part 7 - Pure Endowment'!K76</f>
        <v>169.34736092600039</v>
      </c>
      <c r="H76" s="38">
        <f t="shared" si="5"/>
        <v>831.81698539690899</v>
      </c>
      <c r="I76" s="22">
        <f t="shared" si="3"/>
        <v>655.90580750210461</v>
      </c>
      <c r="J76" s="23">
        <f t="shared" si="4"/>
        <v>534.44265388472161</v>
      </c>
    </row>
    <row r="77" spans="1:10" x14ac:dyDescent="0.2">
      <c r="A77" s="63">
        <f>'Part 6 - Term Life'!M77</f>
        <v>840.77690592654642</v>
      </c>
      <c r="B77" s="54">
        <f>'Part 6 - Term Life'!N77</f>
        <v>692.34501902999921</v>
      </c>
      <c r="C77" s="55">
        <f>'Part 6 - Term Life'!O77</f>
        <v>365.09529295872125</v>
      </c>
      <c r="D77" s="63">
        <f>'Part 7 - Pure Endowment'!I77</f>
        <v>1.6052156360149025E-3</v>
      </c>
      <c r="E77" s="54">
        <f>'Part 7 - Pure Endowment'!J77</f>
        <v>0</v>
      </c>
      <c r="F77" s="55">
        <f>'Part 7 - Pure Endowment'!K77</f>
        <v>169.34736092600039</v>
      </c>
      <c r="H77" s="38">
        <f t="shared" si="5"/>
        <v>840.77851114218242</v>
      </c>
      <c r="I77" s="22">
        <f t="shared" si="3"/>
        <v>692.34501902999921</v>
      </c>
      <c r="J77" s="23">
        <f t="shared" si="4"/>
        <v>534.44265388472161</v>
      </c>
    </row>
    <row r="78" spans="1:10" x14ac:dyDescent="0.2">
      <c r="A78" s="63">
        <f>'Part 6 - Term Life'!M78</f>
        <v>849.32528155384739</v>
      </c>
      <c r="B78" s="54">
        <f>'Part 6 - Term Life'!N78</f>
        <v>733.07119661999923</v>
      </c>
      <c r="C78" s="55">
        <f>'Part 6 - Term Life'!O78</f>
        <v>365.09529295872125</v>
      </c>
      <c r="D78" s="63">
        <f>'Part 7 - Pure Endowment'!I78</f>
        <v>2.0639754619403939E-3</v>
      </c>
      <c r="E78" s="54">
        <f>'Part 7 - Pure Endowment'!J78</f>
        <v>0</v>
      </c>
      <c r="F78" s="55">
        <f>'Part 7 - Pure Endowment'!K78</f>
        <v>169.34736092600039</v>
      </c>
      <c r="H78" s="38">
        <f t="shared" si="5"/>
        <v>849.32734552930935</v>
      </c>
      <c r="I78" s="22">
        <f t="shared" si="3"/>
        <v>733.07119661999923</v>
      </c>
      <c r="J78" s="23">
        <f t="shared" si="4"/>
        <v>534.44265388472161</v>
      </c>
    </row>
    <row r="79" spans="1:10" x14ac:dyDescent="0.2">
      <c r="A79" s="63">
        <f>'Part 6 - Term Life'!M79</f>
        <v>857.45915856303088</v>
      </c>
      <c r="B79" s="54">
        <f>'Part 6 - Term Life'!N79</f>
        <v>778.88814640874909</v>
      </c>
      <c r="C79" s="55">
        <f>'Part 6 - Term Life'!O79</f>
        <v>365.09529295872125</v>
      </c>
      <c r="D79" s="63">
        <f>'Part 7 - Pure Endowment'!I79</f>
        <v>2.7188337618099354E-3</v>
      </c>
      <c r="E79" s="54">
        <f>'Part 7 - Pure Endowment'!J79</f>
        <v>0</v>
      </c>
      <c r="F79" s="55">
        <f>'Part 7 - Pure Endowment'!K79</f>
        <v>169.34736092600039</v>
      </c>
      <c r="H79" s="38">
        <f t="shared" si="5"/>
        <v>857.46187739679272</v>
      </c>
      <c r="I79" s="22">
        <f t="shared" si="3"/>
        <v>778.88814640874909</v>
      </c>
      <c r="J79" s="23">
        <f t="shared" si="4"/>
        <v>534.44265388472161</v>
      </c>
    </row>
    <row r="80" spans="1:10" x14ac:dyDescent="0.2">
      <c r="A80" s="63">
        <f>'Part 6 - Term Life'!M80</f>
        <v>865.18067349031196</v>
      </c>
      <c r="B80" s="54">
        <f>'Part 6 - Term Life'!N80</f>
        <v>830.81402283599914</v>
      </c>
      <c r="C80" s="55">
        <f>'Part 6 - Term Life'!O80</f>
        <v>365.09529295872125</v>
      </c>
      <c r="D80" s="63">
        <f>'Part 7 - Pure Endowment'!I80</f>
        <v>3.6777277068052736E-3</v>
      </c>
      <c r="E80" s="54">
        <f>'Part 7 - Pure Endowment'!J80</f>
        <v>0</v>
      </c>
      <c r="F80" s="55">
        <f>'Part 7 - Pure Endowment'!K80</f>
        <v>169.34736092600039</v>
      </c>
      <c r="H80" s="38">
        <f t="shared" si="5"/>
        <v>865.18435121801872</v>
      </c>
      <c r="I80" s="22">
        <f t="shared" si="3"/>
        <v>830.81402283599914</v>
      </c>
      <c r="J80" s="23">
        <f t="shared" si="4"/>
        <v>534.44265388472161</v>
      </c>
    </row>
    <row r="81" spans="1:10" x14ac:dyDescent="0.2">
      <c r="A81" s="63">
        <f>'Part 6 - Term Life'!M81</f>
        <v>872.49468334725111</v>
      </c>
      <c r="B81" s="54">
        <f>'Part 6 - Term Life'!N81</f>
        <v>890.15788160999898</v>
      </c>
      <c r="C81" s="55">
        <f>'Part 6 - Term Life'!O81</f>
        <v>365.09529295872125</v>
      </c>
      <c r="D81" s="63">
        <f>'Part 7 - Pure Endowment'!I81</f>
        <v>5.1215414597129512E-3</v>
      </c>
      <c r="E81" s="54">
        <f>'Part 7 - Pure Endowment'!J81</f>
        <v>0</v>
      </c>
      <c r="F81" s="55">
        <f>'Part 7 - Pure Endowment'!K81</f>
        <v>169.34736092600039</v>
      </c>
      <c r="H81" s="38">
        <f t="shared" si="5"/>
        <v>872.49980488871086</v>
      </c>
      <c r="I81" s="22">
        <f t="shared" si="3"/>
        <v>890.15788160999898</v>
      </c>
      <c r="J81" s="23">
        <f t="shared" si="4"/>
        <v>534.44265388472161</v>
      </c>
    </row>
    <row r="82" spans="1:10" x14ac:dyDescent="0.2">
      <c r="A82" s="63">
        <f>'Part 6 - Term Life'!M82</f>
        <v>879.40395013243256</v>
      </c>
      <c r="B82" s="54">
        <f>'Part 6 - Term Life'!N82</f>
        <v>958.63156481076817</v>
      </c>
      <c r="C82" s="55">
        <f>'Part 6 - Term Life'!O82</f>
        <v>365.09529295872125</v>
      </c>
      <c r="D82" s="63">
        <f>'Part 7 - Pure Endowment'!I82</f>
        <v>7.3632973326331012E-3</v>
      </c>
      <c r="E82" s="54">
        <f>'Part 7 - Pure Endowment'!J82</f>
        <v>0</v>
      </c>
      <c r="F82" s="55">
        <f>'Part 7 - Pure Endowment'!K82</f>
        <v>169.34736092600039</v>
      </c>
      <c r="H82" s="38">
        <f t="shared" si="5"/>
        <v>879.41131342976519</v>
      </c>
      <c r="I82" s="22">
        <f t="shared" si="3"/>
        <v>958.63156481076817</v>
      </c>
      <c r="J82" s="23">
        <f t="shared" si="4"/>
        <v>534.44265388472161</v>
      </c>
    </row>
    <row r="83" spans="1:10" x14ac:dyDescent="0.2">
      <c r="A83" s="63">
        <f>'Part 6 - Term Life'!M83</f>
        <v>885.91571276993432</v>
      </c>
      <c r="B83" s="54">
        <f>'Part 6 - Term Life'!N83</f>
        <v>1038.5175285449989</v>
      </c>
      <c r="C83" s="55">
        <f>'Part 6 - Term Life'!O83</f>
        <v>365.09529295872125</v>
      </c>
      <c r="D83" s="63">
        <f>'Part 7 - Pure Endowment'!I83</f>
        <v>1.0962834369521932E-2</v>
      </c>
      <c r="E83" s="54">
        <f>'Part 7 - Pure Endowment'!J83</f>
        <v>0</v>
      </c>
      <c r="F83" s="55">
        <f>'Part 7 - Pure Endowment'!K83</f>
        <v>169.34736092600039</v>
      </c>
      <c r="H83" s="38">
        <f t="shared" si="5"/>
        <v>885.9266756043038</v>
      </c>
      <c r="I83" s="22">
        <f t="shared" si="3"/>
        <v>1038.5175285449989</v>
      </c>
      <c r="J83" s="23">
        <f t="shared" si="4"/>
        <v>534.44265388472161</v>
      </c>
    </row>
    <row r="84" spans="1:10" x14ac:dyDescent="0.2">
      <c r="A84" s="63">
        <f>'Part 6 - Term Life'!M84</f>
        <v>892.03511511205295</v>
      </c>
      <c r="B84" s="54">
        <f>'Part 6 - Term Life'!N84</f>
        <v>1132.9282129581807</v>
      </c>
      <c r="C84" s="55">
        <f>'Part 6 - Term Life'!O84</f>
        <v>365.09529295872125</v>
      </c>
      <c r="D84" s="63">
        <f>'Part 7 - Pure Endowment'!I84</f>
        <v>1.695983039839407E-2</v>
      </c>
      <c r="E84" s="54">
        <f>'Part 7 - Pure Endowment'!J84</f>
        <v>0</v>
      </c>
      <c r="F84" s="55">
        <f>'Part 7 - Pure Endowment'!K84</f>
        <v>169.34736092600039</v>
      </c>
      <c r="H84" s="38">
        <f t="shared" si="5"/>
        <v>892.05207494245133</v>
      </c>
      <c r="I84" s="22">
        <f t="shared" si="3"/>
        <v>1132.9282129581807</v>
      </c>
      <c r="J84" s="23">
        <f t="shared" si="4"/>
        <v>534.44265388472161</v>
      </c>
    </row>
    <row r="85" spans="1:10" x14ac:dyDescent="0.2">
      <c r="A85" s="63">
        <f>'Part 6 - Term Life'!M85</f>
        <v>897.76842669837959</v>
      </c>
      <c r="B85" s="54">
        <f>'Part 6 - Term Life'!N85</f>
        <v>1246.2210342539986</v>
      </c>
      <c r="C85" s="55">
        <f>'Part 6 - Term Life'!O85</f>
        <v>365.09529295872125</v>
      </c>
      <c r="D85" s="63">
        <f>'Part 7 - Pure Endowment'!I85</f>
        <v>2.7363392059364441E-2</v>
      </c>
      <c r="E85" s="54">
        <f>'Part 7 - Pure Endowment'!J85</f>
        <v>0</v>
      </c>
      <c r="F85" s="55">
        <f>'Part 7 - Pure Endowment'!K85</f>
        <v>169.34736092600039</v>
      </c>
      <c r="H85" s="38">
        <f t="shared" si="5"/>
        <v>897.79579009043891</v>
      </c>
      <c r="I85" s="22">
        <f t="shared" si="3"/>
        <v>1246.2210342539986</v>
      </c>
      <c r="J85" s="23">
        <f t="shared" si="4"/>
        <v>534.44265388472161</v>
      </c>
    </row>
    <row r="86" spans="1:10" x14ac:dyDescent="0.2">
      <c r="A86" s="63">
        <f>'Part 6 - Term Life'!M86</f>
        <v>903.11692916351035</v>
      </c>
      <c r="B86" s="54">
        <f>'Part 6 - Term Life'!N86</f>
        <v>1384.6900380599984</v>
      </c>
      <c r="C86" s="55">
        <f>'Part 6 - Term Life'!O86</f>
        <v>365.09529295872125</v>
      </c>
      <c r="D86" s="63">
        <f>'Part 7 - Pure Endowment'!I86</f>
        <v>4.6231317259181649E-2</v>
      </c>
      <c r="E86" s="54">
        <f>'Part 7 - Pure Endowment'!J86</f>
        <v>0</v>
      </c>
      <c r="F86" s="55">
        <f>'Part 7 - Pure Endowment'!K86</f>
        <v>169.34736092600039</v>
      </c>
      <c r="H86" s="38">
        <f t="shared" si="5"/>
        <v>903.16316048076953</v>
      </c>
      <c r="I86" s="22">
        <f t="shared" si="3"/>
        <v>1384.6900380599984</v>
      </c>
      <c r="J86" s="23">
        <f t="shared" si="4"/>
        <v>534.44265388472161</v>
      </c>
    </row>
    <row r="87" spans="1:10" x14ac:dyDescent="0.2">
      <c r="A87" s="63">
        <f>'Part 6 - Term Life'!M87</f>
        <v>908.07644231889026</v>
      </c>
      <c r="B87" s="54">
        <f>'Part 6 - Term Life'!N87</f>
        <v>1557.7762928174982</v>
      </c>
      <c r="C87" s="55">
        <f>'Part 6 - Term Life'!O87</f>
        <v>365.09529295872125</v>
      </c>
      <c r="D87" s="63">
        <f>'Part 7 - Pure Endowment'!I87</f>
        <v>8.2156875993712034E-2</v>
      </c>
      <c r="E87" s="54">
        <f>'Part 7 - Pure Endowment'!J87</f>
        <v>0</v>
      </c>
      <c r="F87" s="55">
        <f>'Part 7 - Pure Endowment'!K87</f>
        <v>169.34736092600039</v>
      </c>
      <c r="H87" s="38">
        <f t="shared" si="5"/>
        <v>908.158599194884</v>
      </c>
      <c r="I87" s="22">
        <f t="shared" si="3"/>
        <v>1557.7762928174982</v>
      </c>
      <c r="J87" s="23">
        <f t="shared" si="4"/>
        <v>534.44265388472161</v>
      </c>
    </row>
    <row r="88" spans="1:10" x14ac:dyDescent="0.2">
      <c r="A88" s="63">
        <f>'Part 6 - Term Life'!M88</f>
        <v>912.62094411021019</v>
      </c>
      <c r="B88" s="54">
        <f>'Part 6 - Term Life'!N88</f>
        <v>1780.315763219998</v>
      </c>
      <c r="C88" s="55">
        <f>'Part 6 - Term Life'!O88</f>
        <v>365.09529295872125</v>
      </c>
      <c r="D88" s="63">
        <f>'Part 7 - Pure Endowment'!I88</f>
        <v>0.15431709084263803</v>
      </c>
      <c r="E88" s="54">
        <f>'Part 7 - Pure Endowment'!J88</f>
        <v>0</v>
      </c>
      <c r="F88" s="55">
        <f>'Part 7 - Pure Endowment'!K88</f>
        <v>169.34736092600039</v>
      </c>
      <c r="H88" s="38">
        <f t="shared" si="5"/>
        <v>912.77526120105279</v>
      </c>
      <c r="I88" s="22">
        <f t="shared" si="3"/>
        <v>1780.315763219998</v>
      </c>
      <c r="J88" s="23">
        <f t="shared" si="4"/>
        <v>534.44265388472161</v>
      </c>
    </row>
    <row r="89" spans="1:10" x14ac:dyDescent="0.2">
      <c r="A89" s="63">
        <f>'Part 6 - Term Life'!M89</f>
        <v>916.67230457619792</v>
      </c>
      <c r="B89" s="54">
        <f>'Part 6 - Term Life'!N89</f>
        <v>2077.0350570899977</v>
      </c>
      <c r="C89" s="55">
        <f>'Part 6 - Term Life'!O89</f>
        <v>365.09529295872125</v>
      </c>
      <c r="D89" s="63">
        <f>'Part 7 - Pure Endowment'!I89</f>
        <v>0.30801199745042618</v>
      </c>
      <c r="E89" s="54">
        <f>'Part 7 - Pure Endowment'!J89</f>
        <v>0</v>
      </c>
      <c r="F89" s="55">
        <f>'Part 7 - Pure Endowment'!K89</f>
        <v>169.34736092600039</v>
      </c>
      <c r="H89" s="38">
        <f t="shared" si="5"/>
        <v>916.98031657364834</v>
      </c>
      <c r="I89" s="22">
        <f t="shared" si="3"/>
        <v>2077.0350570899977</v>
      </c>
      <c r="J89" s="23">
        <f t="shared" si="4"/>
        <v>534.44265388472161</v>
      </c>
    </row>
    <row r="90" spans="1:10" x14ac:dyDescent="0.2">
      <c r="A90" s="63">
        <f>'Part 6 - Term Life'!M90</f>
        <v>920.00750939795182</v>
      </c>
      <c r="B90" s="54">
        <f>'Part 6 - Term Life'!N90</f>
        <v>2492.4420685079972</v>
      </c>
      <c r="C90" s="55">
        <f>'Part 6 - Term Life'!O90</f>
        <v>365.09529295872125</v>
      </c>
      <c r="D90" s="63">
        <f>'Part 7 - Pure Endowment'!I90</f>
        <v>0.65713431782391674</v>
      </c>
      <c r="E90" s="54">
        <f>'Part 7 - Pure Endowment'!J90</f>
        <v>0</v>
      </c>
      <c r="F90" s="55">
        <f>'Part 7 - Pure Endowment'!K90</f>
        <v>169.34736092600039</v>
      </c>
      <c r="H90" s="38">
        <f t="shared" si="5"/>
        <v>920.6646437157757</v>
      </c>
      <c r="I90" s="22">
        <f t="shared" si="3"/>
        <v>2492.4420685079972</v>
      </c>
      <c r="J90" s="23">
        <f t="shared" si="4"/>
        <v>534.44265388472161</v>
      </c>
    </row>
    <row r="91" spans="1:10" x14ac:dyDescent="0.2">
      <c r="A91" s="63">
        <f>'Part 6 - Term Life'!M91</f>
        <v>921.9845421676099</v>
      </c>
      <c r="B91" s="54">
        <f>'Part 6 - Term Life'!N91</f>
        <v>3115.5525856349964</v>
      </c>
      <c r="C91" s="55">
        <f>'Part 6 - Term Life'!O91</f>
        <v>365.09529295872125</v>
      </c>
      <c r="D91" s="63">
        <f>'Part 7 - Pure Endowment'!I91</f>
        <v>1.5081919575495548</v>
      </c>
      <c r="E91" s="54">
        <f>'Part 7 - Pure Endowment'!J91</f>
        <v>0</v>
      </c>
      <c r="F91" s="55">
        <f>'Part 7 - Pure Endowment'!K91</f>
        <v>169.34736092600039</v>
      </c>
      <c r="H91" s="38">
        <f t="shared" si="5"/>
        <v>923.49273412515947</v>
      </c>
      <c r="I91" s="22">
        <f t="shared" si="3"/>
        <v>3115.5525856349964</v>
      </c>
      <c r="J91" s="23">
        <f t="shared" si="4"/>
        <v>534.44265388472161</v>
      </c>
    </row>
    <row r="92" spans="1:10" x14ac:dyDescent="0.2">
      <c r="A92" s="63">
        <f>'Part 6 - Term Life'!M92</f>
        <v>920.6399514533415</v>
      </c>
      <c r="B92" s="54">
        <f>'Part 6 - Term Life'!N92</f>
        <v>4154.0701141799955</v>
      </c>
      <c r="C92" s="55">
        <f>'Part 6 - Term Life'!O92</f>
        <v>365.09529295872125</v>
      </c>
      <c r="D92" s="63">
        <f>'Part 7 - Pure Endowment'!I92</f>
        <v>3.7501354092785522</v>
      </c>
      <c r="E92" s="54">
        <f>'Part 7 - Pure Endowment'!J92</f>
        <v>0</v>
      </c>
      <c r="F92" s="55">
        <f>'Part 7 - Pure Endowment'!K92</f>
        <v>169.34736092600039</v>
      </c>
      <c r="H92" s="38">
        <f t="shared" si="5"/>
        <v>924.39008686262002</v>
      </c>
      <c r="I92" s="22">
        <f t="shared" si="3"/>
        <v>4154.0701141799955</v>
      </c>
      <c r="J92" s="23">
        <f t="shared" si="4"/>
        <v>534.44265388472161</v>
      </c>
    </row>
    <row r="93" spans="1:10" x14ac:dyDescent="0.2">
      <c r="A93" s="63">
        <f>'Part 6 - Term Life'!M93</f>
        <v>909.52315405040918</v>
      </c>
      <c r="B93" s="54">
        <f>'Part 6 - Term Life'!N93</f>
        <v>6231.1051712699928</v>
      </c>
      <c r="C93" s="55">
        <f>'Part 6 - Term Life'!O93</f>
        <v>365.09529295872125</v>
      </c>
      <c r="D93" s="63">
        <f>'Part 7 - Pure Endowment'!I93</f>
        <v>10.180626043214659</v>
      </c>
      <c r="E93" s="54">
        <f>'Part 7 - Pure Endowment'!J93</f>
        <v>0</v>
      </c>
      <c r="F93" s="55">
        <f>'Part 7 - Pure Endowment'!K93</f>
        <v>169.34736092600039</v>
      </c>
      <c r="H93" s="38">
        <f t="shared" si="5"/>
        <v>919.70378009362389</v>
      </c>
      <c r="I93" s="22">
        <f t="shared" si="3"/>
        <v>6231.1051712699928</v>
      </c>
      <c r="J93" s="23">
        <f t="shared" si="4"/>
        <v>534.44265388472161</v>
      </c>
    </row>
    <row r="94" spans="1:10" x14ac:dyDescent="0.2">
      <c r="A94" s="63">
        <f>'Part 6 - Term Life'!M94</f>
        <v>865.48890077097496</v>
      </c>
      <c r="B94" s="54">
        <f>'Part 6 - Term Life'!N94</f>
        <v>12462.210342539986</v>
      </c>
      <c r="C94" s="55">
        <f>'Part 6 - Term Life'!O94</f>
        <v>365.09529295872125</v>
      </c>
      <c r="D94" s="63">
        <f>'Part 7 - Pure Endowment'!I94</f>
        <v>30.430805688879573</v>
      </c>
      <c r="E94" s="54">
        <f>'Part 7 - Pure Endowment'!J94</f>
        <v>0</v>
      </c>
      <c r="F94" s="55">
        <f>'Part 7 - Pure Endowment'!K94</f>
        <v>169.34736092600039</v>
      </c>
      <c r="H94" s="38">
        <f t="shared" si="5"/>
        <v>895.91970645985452</v>
      </c>
      <c r="I94" s="22">
        <f t="shared" si="3"/>
        <v>12462.210342539986</v>
      </c>
      <c r="J94" s="23">
        <f t="shared" si="4"/>
        <v>534.44265388472161</v>
      </c>
    </row>
    <row r="95" spans="1:10" x14ac:dyDescent="0.2">
      <c r="A95" s="64">
        <f>'Part 6 - Term Life'!M95</f>
        <v>697.01904761904768</v>
      </c>
      <c r="B95" s="56" t="e">
        <f>'Part 6 - Term Life'!N95</f>
        <v>#DIV/0!</v>
      </c>
      <c r="C95" s="57">
        <f>'Part 6 - Term Life'!O95</f>
        <v>365.09529295872125</v>
      </c>
      <c r="D95" s="64">
        <f>'Part 7 - Pure Endowment'!I95</f>
        <v>101.0553770427376</v>
      </c>
      <c r="E95" s="56" t="e">
        <f>'Part 7 - Pure Endowment'!J95</f>
        <v>#DIV/0!</v>
      </c>
      <c r="F95" s="57">
        <f>'Part 7 - Pure Endowment'!K95</f>
        <v>169.34736092600039</v>
      </c>
      <c r="H95" s="39">
        <f t="shared" si="5"/>
        <v>798.07442466178532</v>
      </c>
      <c r="I95" s="25" t="e">
        <f t="shared" si="3"/>
        <v>#DIV/0!</v>
      </c>
      <c r="J95" s="26">
        <f t="shared" si="4"/>
        <v>534.44265388472161</v>
      </c>
    </row>
  </sheetData>
  <pageMargins left="0.75" right="0.75" top="1" bottom="1" header="0.5" footer="0.5"/>
  <pageSetup orientation="portrait" horizontalDpi="4294967292" verticalDpi="429496729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C32"/>
  <sheetViews>
    <sheetView workbookViewId="0">
      <selection activeCell="C32" sqref="C32"/>
    </sheetView>
  </sheetViews>
  <sheetFormatPr baseColWidth="10" defaultRowHeight="16" x14ac:dyDescent="0.2"/>
  <cols>
    <col min="3" max="3" width="14" customWidth="1"/>
  </cols>
  <sheetData>
    <row r="1" spans="1:3" x14ac:dyDescent="0.2">
      <c r="A1" s="117" t="s">
        <v>105</v>
      </c>
      <c r="B1" s="117"/>
      <c r="C1" s="117"/>
    </row>
    <row r="2" spans="1:3" x14ac:dyDescent="0.2">
      <c r="C2" t="s">
        <v>46</v>
      </c>
    </row>
    <row r="3" spans="1:3" x14ac:dyDescent="0.2">
      <c r="A3">
        <v>5</v>
      </c>
      <c r="B3" s="47">
        <v>5.0999999999999996</v>
      </c>
    </row>
    <row r="4" spans="1:3" x14ac:dyDescent="0.2">
      <c r="B4" s="48" t="s">
        <v>78</v>
      </c>
      <c r="C4">
        <v>3</v>
      </c>
    </row>
    <row r="5" spans="1:3" x14ac:dyDescent="0.2">
      <c r="B5" s="48" t="s">
        <v>79</v>
      </c>
      <c r="C5">
        <v>2</v>
      </c>
    </row>
    <row r="6" spans="1:3" x14ac:dyDescent="0.2">
      <c r="B6" s="48" t="s">
        <v>80</v>
      </c>
      <c r="C6">
        <v>2</v>
      </c>
    </row>
    <row r="7" spans="1:3" x14ac:dyDescent="0.2">
      <c r="B7" s="47">
        <v>5.2</v>
      </c>
      <c r="C7">
        <v>3</v>
      </c>
    </row>
    <row r="8" spans="1:3" x14ac:dyDescent="0.2">
      <c r="A8" s="49" t="s">
        <v>109</v>
      </c>
      <c r="B8" s="49"/>
      <c r="C8" s="49">
        <f>SUM(C4:C7)</f>
        <v>10</v>
      </c>
    </row>
    <row r="9" spans="1:3" x14ac:dyDescent="0.2">
      <c r="A9" s="49"/>
      <c r="B9" s="49"/>
      <c r="C9" s="49"/>
    </row>
    <row r="10" spans="1:3" x14ac:dyDescent="0.2">
      <c r="A10">
        <v>6</v>
      </c>
      <c r="B10" s="47">
        <v>6.1</v>
      </c>
    </row>
    <row r="11" spans="1:3" x14ac:dyDescent="0.2">
      <c r="B11" s="48" t="s">
        <v>84</v>
      </c>
      <c r="C11">
        <v>3</v>
      </c>
    </row>
    <row r="12" spans="1:3" x14ac:dyDescent="0.2">
      <c r="B12" s="48" t="s">
        <v>85</v>
      </c>
      <c r="C12">
        <v>2</v>
      </c>
    </row>
    <row r="13" spans="1:3" x14ac:dyDescent="0.2">
      <c r="B13" s="48" t="s">
        <v>86</v>
      </c>
      <c r="C13">
        <v>2</v>
      </c>
    </row>
    <row r="14" spans="1:3" x14ac:dyDescent="0.2">
      <c r="B14" s="47">
        <v>6.2</v>
      </c>
      <c r="C14">
        <v>3</v>
      </c>
    </row>
    <row r="15" spans="1:3" x14ac:dyDescent="0.2">
      <c r="A15" s="49" t="s">
        <v>106</v>
      </c>
      <c r="B15" s="49"/>
      <c r="C15" s="49">
        <f>SUM(C11:C14)</f>
        <v>10</v>
      </c>
    </row>
    <row r="16" spans="1:3" x14ac:dyDescent="0.2">
      <c r="A16" s="49"/>
      <c r="B16" s="49"/>
      <c r="C16" s="49"/>
    </row>
    <row r="17" spans="1:3" x14ac:dyDescent="0.2">
      <c r="A17">
        <v>7</v>
      </c>
      <c r="B17" s="47">
        <v>7.1</v>
      </c>
    </row>
    <row r="18" spans="1:3" x14ac:dyDescent="0.2">
      <c r="B18" s="48" t="s">
        <v>81</v>
      </c>
      <c r="C18">
        <v>3</v>
      </c>
    </row>
    <row r="19" spans="1:3" x14ac:dyDescent="0.2">
      <c r="B19" s="48" t="s">
        <v>82</v>
      </c>
      <c r="C19">
        <v>2</v>
      </c>
    </row>
    <row r="20" spans="1:3" x14ac:dyDescent="0.2">
      <c r="B20" s="48" t="s">
        <v>83</v>
      </c>
      <c r="C20">
        <v>2</v>
      </c>
    </row>
    <row r="21" spans="1:3" x14ac:dyDescent="0.2">
      <c r="B21" s="47">
        <v>7.2</v>
      </c>
      <c r="C21">
        <v>3</v>
      </c>
    </row>
    <row r="22" spans="1:3" x14ac:dyDescent="0.2">
      <c r="A22" s="49" t="s">
        <v>108</v>
      </c>
      <c r="B22" s="49"/>
      <c r="C22" s="49">
        <f>SUM(C18:C21)</f>
        <v>10</v>
      </c>
    </row>
    <row r="23" spans="1:3" x14ac:dyDescent="0.2">
      <c r="A23" s="49"/>
      <c r="B23" s="49"/>
      <c r="C23" s="49"/>
    </row>
    <row r="24" spans="1:3" x14ac:dyDescent="0.2">
      <c r="A24">
        <v>8</v>
      </c>
      <c r="B24" s="47">
        <v>8.1</v>
      </c>
    </row>
    <row r="25" spans="1:3" x14ac:dyDescent="0.2">
      <c r="B25" s="48" t="s">
        <v>99</v>
      </c>
      <c r="C25">
        <v>3</v>
      </c>
    </row>
    <row r="26" spans="1:3" x14ac:dyDescent="0.2">
      <c r="B26" s="48" t="s">
        <v>100</v>
      </c>
      <c r="C26">
        <v>2</v>
      </c>
    </row>
    <row r="27" spans="1:3" x14ac:dyDescent="0.2">
      <c r="B27" s="48" t="s">
        <v>101</v>
      </c>
      <c r="C27">
        <v>2</v>
      </c>
    </row>
    <row r="28" spans="1:3" x14ac:dyDescent="0.2">
      <c r="B28" s="47">
        <v>8.1999999999999993</v>
      </c>
      <c r="C28">
        <v>3</v>
      </c>
    </row>
    <row r="29" spans="1:3" x14ac:dyDescent="0.2">
      <c r="A29" s="49" t="s">
        <v>107</v>
      </c>
      <c r="B29" s="49"/>
      <c r="C29" s="49">
        <f>SUM(C25:C28)</f>
        <v>10</v>
      </c>
    </row>
    <row r="30" spans="1:3" x14ac:dyDescent="0.2">
      <c r="A30" s="49"/>
      <c r="B30" s="49"/>
      <c r="C30" s="49"/>
    </row>
    <row r="32" spans="1:3" x14ac:dyDescent="0.2">
      <c r="A32" s="2" t="s">
        <v>62</v>
      </c>
      <c r="B32" s="2"/>
      <c r="C32" s="2">
        <f>C8+C15+C22+C29</f>
        <v>40</v>
      </c>
    </row>
  </sheetData>
  <mergeCells count="1">
    <mergeCell ref="A1:C1"/>
  </mergeCells>
  <pageMargins left="0.75" right="0.75" top="1" bottom="1" header="0.5" footer="0.5"/>
  <pageSetup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Z95"/>
  <sheetViews>
    <sheetView topLeftCell="P1" workbookViewId="0">
      <selection activeCell="Q5" sqref="Q5"/>
    </sheetView>
  </sheetViews>
  <sheetFormatPr baseColWidth="10" defaultRowHeight="16" x14ac:dyDescent="0.2"/>
  <cols>
    <col min="9" max="9" width="18.33203125" bestFit="1" customWidth="1"/>
    <col min="10" max="14" width="18.33203125" customWidth="1"/>
    <col min="17" max="17" width="21.83203125" bestFit="1" customWidth="1"/>
    <col min="18" max="18" width="20" bestFit="1" customWidth="1"/>
    <col min="19" max="19" width="21.6640625" bestFit="1" customWidth="1"/>
    <col min="20" max="20" width="3.83203125" customWidth="1"/>
    <col min="21" max="21" width="3.1640625" customWidth="1"/>
    <col min="22" max="22" width="21.83203125" bestFit="1" customWidth="1"/>
    <col min="23" max="23" width="19" customWidth="1"/>
  </cols>
  <sheetData>
    <row r="1" spans="1:26" x14ac:dyDescent="0.2">
      <c r="B1" s="2"/>
      <c r="Q1" t="s">
        <v>117</v>
      </c>
    </row>
    <row r="2" spans="1:26" x14ac:dyDescent="0.2">
      <c r="A2" t="s">
        <v>71</v>
      </c>
      <c r="C2">
        <v>0.05</v>
      </c>
      <c r="E2" t="s">
        <v>13</v>
      </c>
      <c r="Q2" t="s">
        <v>118</v>
      </c>
      <c r="R2" t="s">
        <v>123</v>
      </c>
      <c r="S2" t="s">
        <v>124</v>
      </c>
      <c r="V2" t="s">
        <v>130</v>
      </c>
      <c r="W2" t="s">
        <v>143</v>
      </c>
    </row>
    <row r="3" spans="1:26" x14ac:dyDescent="0.2">
      <c r="G3" t="s">
        <v>92</v>
      </c>
      <c r="H3" t="s">
        <v>120</v>
      </c>
      <c r="I3" t="s">
        <v>119</v>
      </c>
      <c r="Q3" t="s">
        <v>115</v>
      </c>
      <c r="R3" t="s">
        <v>116</v>
      </c>
      <c r="S3" t="s">
        <v>131</v>
      </c>
      <c r="V3" t="s">
        <v>90</v>
      </c>
      <c r="W3" s="118" t="s">
        <v>132</v>
      </c>
    </row>
    <row r="4" spans="1:26" x14ac:dyDescent="0.2">
      <c r="A4" t="s">
        <v>70</v>
      </c>
      <c r="B4" t="s">
        <v>0</v>
      </c>
      <c r="C4" t="s">
        <v>69</v>
      </c>
      <c r="D4" t="s">
        <v>89</v>
      </c>
      <c r="E4" t="s">
        <v>65</v>
      </c>
      <c r="F4" t="s">
        <v>6</v>
      </c>
      <c r="G4">
        <v>1</v>
      </c>
      <c r="H4">
        <v>1</v>
      </c>
      <c r="I4" t="s">
        <v>87</v>
      </c>
      <c r="J4" t="s">
        <v>121</v>
      </c>
      <c r="K4" t="s">
        <v>125</v>
      </c>
      <c r="L4" t="s">
        <v>122</v>
      </c>
      <c r="M4" t="s">
        <v>126</v>
      </c>
      <c r="N4" t="s">
        <v>127</v>
      </c>
      <c r="P4" t="s">
        <v>110</v>
      </c>
      <c r="V4" t="s">
        <v>115</v>
      </c>
      <c r="W4" s="119"/>
    </row>
    <row r="5" spans="1:26" x14ac:dyDescent="0.2">
      <c r="A5">
        <v>1</v>
      </c>
      <c r="B5">
        <v>20</v>
      </c>
      <c r="C5">
        <f>(1/(1+$C$2))^A5</f>
        <v>0.95238095238095233</v>
      </c>
      <c r="D5">
        <f>C5^2</f>
        <v>0.90702947845804982</v>
      </c>
      <c r="E5">
        <v>1.0300000000000001E-3</v>
      </c>
      <c r="F5">
        <f t="shared" ref="F5:F68" si="0">1-E5</f>
        <v>0.99897000000000002</v>
      </c>
      <c r="G5">
        <f>F5</f>
        <v>0.99897000000000002</v>
      </c>
      <c r="H5" s="72">
        <f>C5*G5</f>
        <v>0.95140000000000002</v>
      </c>
      <c r="I5" s="72">
        <v>94.160310415697325</v>
      </c>
      <c r="J5" s="73">
        <f>-PV($C$2,A5,1,,1)</f>
        <v>1.0000000000000009</v>
      </c>
      <c r="K5" s="73">
        <f>J5^2</f>
        <v>1.0000000000000018</v>
      </c>
      <c r="L5" s="34">
        <f>E5</f>
        <v>1.0300000000000001E-3</v>
      </c>
      <c r="M5" s="34">
        <f>J5*L5</f>
        <v>1.030000000000001E-3</v>
      </c>
      <c r="N5" s="34">
        <f>K5*L5</f>
        <v>1.0300000000000018E-3</v>
      </c>
      <c r="P5">
        <v>20</v>
      </c>
      <c r="Q5" s="37">
        <f t="shared" ref="Q5:Q36" si="1">(1-I5/1000)/($C$2/(1+$C$2))</f>
        <v>19.022633481270358</v>
      </c>
      <c r="R5" s="19">
        <f>SUM(H4:H95)</f>
        <v>19.022633409936301</v>
      </c>
      <c r="S5" s="41">
        <f>SUM(M5:M95)</f>
        <v>19.022627132168182</v>
      </c>
      <c r="V5" s="33">
        <f>(Z6-Z5^2)/(C2/(1+C2))^2</f>
        <v>5.2178440239690582</v>
      </c>
      <c r="W5" s="33">
        <f>Z10-Z9^2</f>
        <v>5.217952246070297</v>
      </c>
      <c r="Y5" t="s">
        <v>87</v>
      </c>
      <c r="Z5">
        <v>9.4160310415697321E-2</v>
      </c>
    </row>
    <row r="6" spans="1:26" x14ac:dyDescent="0.2">
      <c r="A6">
        <v>2</v>
      </c>
      <c r="B6">
        <v>21</v>
      </c>
      <c r="C6">
        <f t="shared" ref="C6:C69" si="2">(1/(1+$C$2))^A6</f>
        <v>0.90702947845804982</v>
      </c>
      <c r="D6">
        <f t="shared" ref="D6:D69" si="3">C6^2</f>
        <v>0.82270247479188185</v>
      </c>
      <c r="E6">
        <v>1.06E-3</v>
      </c>
      <c r="F6">
        <f t="shared" si="0"/>
        <v>0.99894000000000005</v>
      </c>
      <c r="G6" s="34">
        <f t="shared" ref="G6:G37" si="4">F6*G5</f>
        <v>0.99791109180000004</v>
      </c>
      <c r="H6" s="72">
        <f t="shared" ref="H6:H69" si="5">C6*G6</f>
        <v>0.90513477714285706</v>
      </c>
      <c r="I6" s="72">
        <v>97.939203315897558</v>
      </c>
      <c r="J6" s="73">
        <f t="shared" ref="J6:J69" si="6">-PV($C$2,A6,1,,1)</f>
        <v>1.952380952380953</v>
      </c>
      <c r="K6" s="73">
        <f t="shared" ref="K6:K69" si="7">J6^2</f>
        <v>3.811791383219957</v>
      </c>
      <c r="L6" s="34">
        <f>G5*E6</f>
        <v>1.0589082E-3</v>
      </c>
      <c r="M6" s="34">
        <f t="shared" ref="M6:M69" si="8">J6*L6</f>
        <v>2.0673922000000004E-3</v>
      </c>
      <c r="N6" s="34">
        <f t="shared" ref="N6:N69" si="9">K6*L6</f>
        <v>4.0363371523809552E-3</v>
      </c>
      <c r="O6" s="34"/>
      <c r="P6">
        <v>21</v>
      </c>
      <c r="Q6" s="38">
        <f t="shared" si="1"/>
        <v>18.943276730366151</v>
      </c>
      <c r="R6" s="22">
        <f>(R5-1)/($C$5*F5)</f>
        <v>18.943276655388164</v>
      </c>
      <c r="S6" s="43">
        <f>(S5-1)/($C$5*F5)</f>
        <v>18.943270056935233</v>
      </c>
      <c r="Y6" t="s">
        <v>88</v>
      </c>
      <c r="Z6">
        <v>2.0698009916920744E-2</v>
      </c>
    </row>
    <row r="7" spans="1:26" x14ac:dyDescent="0.2">
      <c r="A7">
        <v>3</v>
      </c>
      <c r="B7">
        <v>22</v>
      </c>
      <c r="C7">
        <f t="shared" si="2"/>
        <v>0.86383759853147601</v>
      </c>
      <c r="D7">
        <f t="shared" si="3"/>
        <v>0.7462153966366275</v>
      </c>
      <c r="E7">
        <v>1.1000000000000001E-3</v>
      </c>
      <c r="F7">
        <f t="shared" si="0"/>
        <v>0.99890000000000001</v>
      </c>
      <c r="G7" s="34">
        <f t="shared" si="4"/>
        <v>0.99681338959901999</v>
      </c>
      <c r="H7" s="72">
        <f t="shared" si="5"/>
        <v>0.86108488465523803</v>
      </c>
      <c r="I7" s="72">
        <v>101.884160692026</v>
      </c>
      <c r="J7" s="73">
        <f t="shared" si="6"/>
        <v>2.8594104308390045</v>
      </c>
      <c r="K7" s="73">
        <f t="shared" si="7"/>
        <v>8.1762280119909008</v>
      </c>
      <c r="L7" s="34">
        <f t="shared" ref="L7:L70" si="10">G6*E7</f>
        <v>1.0977022009800001E-3</v>
      </c>
      <c r="M7" s="34">
        <f t="shared" si="8"/>
        <v>3.1387811234371457E-3</v>
      </c>
      <c r="N7" s="34">
        <f t="shared" si="9"/>
        <v>8.9750634844767418E-3</v>
      </c>
      <c r="O7" s="34"/>
      <c r="P7">
        <v>22</v>
      </c>
      <c r="Q7" s="38">
        <f t="shared" si="1"/>
        <v>18.860432625467457</v>
      </c>
      <c r="R7" s="22">
        <f t="shared" ref="R7:R70" si="11">(R6-1)/($C$5*F6)</f>
        <v>18.86043254665703</v>
      </c>
      <c r="S7" s="43">
        <f t="shared" ref="S7:S70" si="12">(S6-1)/($C$5*F6)</f>
        <v>18.860425610929582</v>
      </c>
    </row>
    <row r="8" spans="1:26" x14ac:dyDescent="0.2">
      <c r="A8">
        <v>4</v>
      </c>
      <c r="B8">
        <v>23</v>
      </c>
      <c r="C8">
        <f t="shared" si="2"/>
        <v>0.82270247479188185</v>
      </c>
      <c r="D8">
        <f t="shared" si="3"/>
        <v>0.676839362028687</v>
      </c>
      <c r="E8">
        <v>1.1299999999999999E-3</v>
      </c>
      <c r="F8">
        <f t="shared" si="0"/>
        <v>0.99887000000000004</v>
      </c>
      <c r="G8" s="34">
        <f t="shared" si="4"/>
        <v>0.99568699046877318</v>
      </c>
      <c r="H8" s="72">
        <f t="shared" si="5"/>
        <v>0.81915415117674062</v>
      </c>
      <c r="I8" s="72">
        <v>105.99496318613207</v>
      </c>
      <c r="J8" s="73">
        <f t="shared" si="6"/>
        <v>3.7232480293704784</v>
      </c>
      <c r="K8" s="73">
        <f t="shared" si="7"/>
        <v>13.86257588821115</v>
      </c>
      <c r="L8" s="34">
        <f t="shared" si="10"/>
        <v>1.1263991302468924E-3</v>
      </c>
      <c r="M8" s="34">
        <f t="shared" si="8"/>
        <v>4.193863341976363E-3</v>
      </c>
      <c r="N8" s="34">
        <f t="shared" si="9"/>
        <v>1.5614793423462583E-2</v>
      </c>
      <c r="O8" s="34"/>
      <c r="P8">
        <v>23</v>
      </c>
      <c r="Q8" s="38">
        <f t="shared" si="1"/>
        <v>18.774105773091225</v>
      </c>
      <c r="R8" s="22">
        <f t="shared" si="11"/>
        <v>18.774105690249158</v>
      </c>
      <c r="S8" s="43">
        <f t="shared" si="12"/>
        <v>18.774098399715751</v>
      </c>
    </row>
    <row r="9" spans="1:26" x14ac:dyDescent="0.2">
      <c r="A9">
        <v>5</v>
      </c>
      <c r="B9">
        <v>24</v>
      </c>
      <c r="C9">
        <f t="shared" si="2"/>
        <v>0.78352616646845885</v>
      </c>
      <c r="D9">
        <f t="shared" si="3"/>
        <v>0.6139132535407591</v>
      </c>
      <c r="E9">
        <v>1.1799999999999998E-3</v>
      </c>
      <c r="F9">
        <f t="shared" si="0"/>
        <v>0.99882000000000004</v>
      </c>
      <c r="G9" s="34">
        <f t="shared" si="4"/>
        <v>0.9945120798200201</v>
      </c>
      <c r="H9" s="72">
        <f t="shared" si="5"/>
        <v>0.77922623740795427</v>
      </c>
      <c r="I9" s="72">
        <v>110.28933829771509</v>
      </c>
      <c r="J9" s="73">
        <f t="shared" si="6"/>
        <v>4.545950504162362</v>
      </c>
      <c r="K9" s="73">
        <f t="shared" si="7"/>
        <v>20.665665986294034</v>
      </c>
      <c r="L9" s="34">
        <f t="shared" si="10"/>
        <v>1.1749106487531523E-3</v>
      </c>
      <c r="M9" s="34">
        <f t="shared" si="8"/>
        <v>5.3410856560451208E-3</v>
      </c>
      <c r="N9" s="34">
        <f t="shared" si="9"/>
        <v>2.4280311030872675E-2</v>
      </c>
      <c r="O9" s="34"/>
      <c r="P9">
        <v>24</v>
      </c>
      <c r="Q9" s="38">
        <f t="shared" si="1"/>
        <v>18.683923895747984</v>
      </c>
      <c r="R9" s="22">
        <f t="shared" si="11"/>
        <v>18.683923808665408</v>
      </c>
      <c r="S9" s="43">
        <f t="shared" si="12"/>
        <v>18.683916144945329</v>
      </c>
      <c r="Y9" s="74" t="s">
        <v>128</v>
      </c>
      <c r="Z9" s="34">
        <f>SUM(M5:M95)</f>
        <v>19.022627132168182</v>
      </c>
    </row>
    <row r="10" spans="1:26" x14ac:dyDescent="0.2">
      <c r="A10">
        <v>6</v>
      </c>
      <c r="B10">
        <v>25</v>
      </c>
      <c r="C10">
        <f t="shared" si="2"/>
        <v>0.7462153966366275</v>
      </c>
      <c r="D10">
        <f t="shared" si="3"/>
        <v>0.55683741817755927</v>
      </c>
      <c r="E10">
        <v>1.2199999999999999E-3</v>
      </c>
      <c r="F10">
        <f t="shared" si="0"/>
        <v>0.99878</v>
      </c>
      <c r="G10" s="34">
        <f t="shared" si="4"/>
        <v>0.99329877508263964</v>
      </c>
      <c r="H10" s="72">
        <f t="shared" si="5"/>
        <v>0.7412148394269682</v>
      </c>
      <c r="I10" s="72">
        <v>114.75922109349116</v>
      </c>
      <c r="J10" s="73">
        <f t="shared" si="6"/>
        <v>5.329476670630819</v>
      </c>
      <c r="K10" s="73">
        <f t="shared" si="7"/>
        <v>28.40332158279816</v>
      </c>
      <c r="L10" s="34">
        <f t="shared" si="10"/>
        <v>1.2133047373804244E-3</v>
      </c>
      <c r="M10" s="34">
        <f t="shared" si="8"/>
        <v>6.4662792922348241E-3</v>
      </c>
      <c r="N10" s="34">
        <f t="shared" si="9"/>
        <v>3.4461884633748663E-2</v>
      </c>
      <c r="O10" s="34"/>
      <c r="P10">
        <v>25</v>
      </c>
      <c r="Q10" s="38">
        <f t="shared" si="1"/>
        <v>18.590056357036687</v>
      </c>
      <c r="R10" s="22">
        <f t="shared" si="11"/>
        <v>18.59005626549196</v>
      </c>
      <c r="S10" s="43">
        <f t="shared" si="12"/>
        <v>18.59004820907931</v>
      </c>
      <c r="V10" s="74"/>
      <c r="W10" s="34"/>
      <c r="Y10" s="74" t="s">
        <v>129</v>
      </c>
      <c r="Z10" s="34">
        <f>SUM(N5:N95)</f>
        <v>367.07829525557139</v>
      </c>
    </row>
    <row r="11" spans="1:26" x14ac:dyDescent="0.2">
      <c r="A11">
        <v>7</v>
      </c>
      <c r="B11">
        <v>26</v>
      </c>
      <c r="C11">
        <f t="shared" si="2"/>
        <v>0.71068133013012136</v>
      </c>
      <c r="D11">
        <f t="shared" si="3"/>
        <v>0.50506795299551854</v>
      </c>
      <c r="E11">
        <v>1.2700000000000001E-3</v>
      </c>
      <c r="F11">
        <f t="shared" si="0"/>
        <v>0.99873000000000001</v>
      </c>
      <c r="G11" s="34">
        <f t="shared" si="4"/>
        <v>0.99203728563828475</v>
      </c>
      <c r="H11" s="72">
        <f t="shared" si="5"/>
        <v>0.70502237769609133</v>
      </c>
      <c r="I11" s="72">
        <v>119.4228780593982</v>
      </c>
      <c r="J11" s="73">
        <f t="shared" si="6"/>
        <v>6.0756920672674504</v>
      </c>
      <c r="K11" s="73">
        <f t="shared" si="7"/>
        <v>36.914034096256621</v>
      </c>
      <c r="L11" s="34">
        <f t="shared" si="10"/>
        <v>1.2614894443549523E-3</v>
      </c>
      <c r="M11" s="34">
        <f t="shared" si="8"/>
        <v>7.6644214100090079E-3</v>
      </c>
      <c r="N11" s="34">
        <f t="shared" si="9"/>
        <v>4.6566664360986533E-2</v>
      </c>
      <c r="O11" s="34"/>
      <c r="P11">
        <v>26</v>
      </c>
      <c r="Q11" s="38">
        <f t="shared" si="1"/>
        <v>18.492119560752638</v>
      </c>
      <c r="R11" s="22">
        <f t="shared" si="11"/>
        <v>18.492119464513266</v>
      </c>
      <c r="S11" s="43">
        <f t="shared" si="12"/>
        <v>18.492110994947112</v>
      </c>
      <c r="V11" s="74"/>
      <c r="W11" s="34"/>
    </row>
    <row r="12" spans="1:26" x14ac:dyDescent="0.2">
      <c r="A12">
        <v>8</v>
      </c>
      <c r="B12">
        <v>27</v>
      </c>
      <c r="C12">
        <f t="shared" si="2"/>
        <v>0.676839362028687</v>
      </c>
      <c r="D12">
        <f t="shared" si="3"/>
        <v>0.45811152199140004</v>
      </c>
      <c r="E12">
        <v>1.33E-3</v>
      </c>
      <c r="F12">
        <f t="shared" si="0"/>
        <v>0.99866999999999995</v>
      </c>
      <c r="G12" s="34">
        <f t="shared" si="4"/>
        <v>0.99071787604838579</v>
      </c>
      <c r="H12" s="72">
        <f t="shared" si="5"/>
        <v>0.6705568551750053</v>
      </c>
      <c r="I12" s="72">
        <v>124.28185992447219</v>
      </c>
      <c r="J12" s="73">
        <f t="shared" si="6"/>
        <v>6.7863733973975693</v>
      </c>
      <c r="K12" s="73">
        <f t="shared" si="7"/>
        <v>46.05486388890543</v>
      </c>
      <c r="L12" s="34">
        <f t="shared" si="10"/>
        <v>1.3194095898989187E-3</v>
      </c>
      <c r="M12" s="34">
        <f t="shared" si="8"/>
        <v>8.9540061411612585E-3</v>
      </c>
      <c r="N12" s="34">
        <f t="shared" si="9"/>
        <v>6.0765229076511232E-2</v>
      </c>
      <c r="O12" s="34"/>
      <c r="P12">
        <v>27</v>
      </c>
      <c r="Q12" s="38">
        <f t="shared" si="1"/>
        <v>18.390080941586085</v>
      </c>
      <c r="R12" s="22">
        <f t="shared" si="11"/>
        <v>18.390080840406245</v>
      </c>
      <c r="S12" s="43">
        <f t="shared" si="12"/>
        <v>18.390071936053253</v>
      </c>
    </row>
    <row r="13" spans="1:26" x14ac:dyDescent="0.2">
      <c r="A13">
        <v>9</v>
      </c>
      <c r="B13">
        <v>28</v>
      </c>
      <c r="C13">
        <f t="shared" si="2"/>
        <v>0.64460891621779715</v>
      </c>
      <c r="D13">
        <f t="shared" si="3"/>
        <v>0.41552065486748302</v>
      </c>
      <c r="E13">
        <v>1.39E-3</v>
      </c>
      <c r="F13">
        <f t="shared" si="0"/>
        <v>0.99861</v>
      </c>
      <c r="G13" s="34">
        <f t="shared" si="4"/>
        <v>0.98934077820067856</v>
      </c>
      <c r="H13" s="72">
        <f t="shared" si="5"/>
        <v>0.6377378868060114</v>
      </c>
      <c r="I13" s="72">
        <v>129.33797242401977</v>
      </c>
      <c r="J13" s="73">
        <f t="shared" si="6"/>
        <v>7.4632127594262574</v>
      </c>
      <c r="K13" s="73">
        <f t="shared" si="7"/>
        <v>55.699544692462894</v>
      </c>
      <c r="L13" s="34">
        <f t="shared" si="10"/>
        <v>1.3770978477072563E-3</v>
      </c>
      <c r="M13" s="34">
        <f t="shared" si="8"/>
        <v>1.0277574227987233E-2</v>
      </c>
      <c r="N13" s="34">
        <f t="shared" si="9"/>
        <v>7.670372311426478E-2</v>
      </c>
      <c r="O13" s="34"/>
      <c r="P13">
        <v>28</v>
      </c>
      <c r="Q13" s="38">
        <f t="shared" si="1"/>
        <v>18.283902579095585</v>
      </c>
      <c r="R13" s="22">
        <f t="shared" si="11"/>
        <v>18.283902472715273</v>
      </c>
      <c r="S13" s="43">
        <f t="shared" si="12"/>
        <v>18.283893110693139</v>
      </c>
    </row>
    <row r="14" spans="1:26" x14ac:dyDescent="0.2">
      <c r="A14">
        <v>10</v>
      </c>
      <c r="B14">
        <v>29</v>
      </c>
      <c r="C14">
        <f t="shared" si="2"/>
        <v>0.6139132535407591</v>
      </c>
      <c r="D14">
        <f t="shared" si="3"/>
        <v>0.37688948287300034</v>
      </c>
      <c r="E14">
        <v>1.4599999999999999E-3</v>
      </c>
      <c r="F14">
        <f t="shared" si="0"/>
        <v>0.99853999999999998</v>
      </c>
      <c r="G14" s="34">
        <f t="shared" si="4"/>
        <v>0.9878963406645056</v>
      </c>
      <c r="H14" s="72">
        <f t="shared" si="5"/>
        <v>0.60648265665835677</v>
      </c>
      <c r="I14" s="72">
        <v>134.60196778043553</v>
      </c>
      <c r="J14" s="73">
        <f t="shared" si="6"/>
        <v>8.107821675644054</v>
      </c>
      <c r="K14" s="73">
        <f t="shared" si="7"/>
        <v>65.736772324043557</v>
      </c>
      <c r="L14" s="34">
        <f t="shared" si="10"/>
        <v>1.4444375361729906E-3</v>
      </c>
      <c r="M14" s="34">
        <f t="shared" si="8"/>
        <v>1.1711241964897265E-2</v>
      </c>
      <c r="N14" s="34">
        <f t="shared" si="9"/>
        <v>9.4952661451706305E-2</v>
      </c>
      <c r="O14" s="34"/>
      <c r="P14">
        <v>29</v>
      </c>
      <c r="Q14" s="38">
        <f t="shared" si="1"/>
        <v>18.173358676610853</v>
      </c>
      <c r="R14" s="22">
        <f t="shared" si="11"/>
        <v>18.173358564756047</v>
      </c>
      <c r="S14" s="43">
        <f t="shared" si="12"/>
        <v>18.173348720949917</v>
      </c>
    </row>
    <row r="15" spans="1:26" x14ac:dyDescent="0.2">
      <c r="A15">
        <v>11</v>
      </c>
      <c r="B15">
        <v>30</v>
      </c>
      <c r="C15">
        <f t="shared" si="2"/>
        <v>0.58467928908643729</v>
      </c>
      <c r="D15">
        <f t="shared" si="3"/>
        <v>0.34184987108662174</v>
      </c>
      <c r="E15">
        <v>1.5300000000000001E-3</v>
      </c>
      <c r="F15">
        <f t="shared" si="0"/>
        <v>0.99846999999999997</v>
      </c>
      <c r="G15" s="34">
        <f t="shared" si="4"/>
        <v>0.98638485926328889</v>
      </c>
      <c r="H15" s="72">
        <f t="shared" si="5"/>
        <v>0.5767187982796852</v>
      </c>
      <c r="I15" s="72">
        <v>140.07657797329833</v>
      </c>
      <c r="J15" s="73">
        <f t="shared" si="6"/>
        <v>8.7217349291848159</v>
      </c>
      <c r="K15" s="73">
        <f t="shared" si="7"/>
        <v>76.06866017496246</v>
      </c>
      <c r="L15" s="34">
        <f t="shared" si="10"/>
        <v>1.5114814012166936E-3</v>
      </c>
      <c r="M15" s="34">
        <f t="shared" si="8"/>
        <v>1.3182740131804845E-2</v>
      </c>
      <c r="N15" s="34">
        <f t="shared" si="9"/>
        <v>0.11497636506992875</v>
      </c>
      <c r="O15" s="34"/>
      <c r="P15">
        <v>30</v>
      </c>
      <c r="Q15" s="38">
        <f t="shared" si="1"/>
        <v>18.058391862560736</v>
      </c>
      <c r="R15" s="22">
        <f t="shared" si="11"/>
        <v>18.058391744941463</v>
      </c>
      <c r="S15" s="43">
        <f t="shared" si="12"/>
        <v>18.058381393832409</v>
      </c>
    </row>
    <row r="16" spans="1:26" x14ac:dyDescent="0.2">
      <c r="A16">
        <v>12</v>
      </c>
      <c r="B16">
        <v>31</v>
      </c>
      <c r="C16">
        <f t="shared" si="2"/>
        <v>0.55683741817755927</v>
      </c>
      <c r="D16">
        <f t="shared" si="3"/>
        <v>0.31006791028265002</v>
      </c>
      <c r="E16">
        <v>1.6100000000000001E-3</v>
      </c>
      <c r="F16">
        <f t="shared" si="0"/>
        <v>0.99839</v>
      </c>
      <c r="G16" s="34">
        <f t="shared" si="4"/>
        <v>0.984796779639875</v>
      </c>
      <c r="H16" s="72">
        <f t="shared" si="5"/>
        <v>0.54837169620424275</v>
      </c>
      <c r="I16" s="72">
        <v>145.77344023552362</v>
      </c>
      <c r="J16" s="73">
        <f t="shared" si="6"/>
        <v>9.3064142182712501</v>
      </c>
      <c r="K16" s="73">
        <f t="shared" si="7"/>
        <v>86.609345602041287</v>
      </c>
      <c r="L16" s="34">
        <f t="shared" si="10"/>
        <v>1.5880796234138952E-3</v>
      </c>
      <c r="M16" s="34">
        <f t="shared" si="8"/>
        <v>1.4779326787085927E-2</v>
      </c>
      <c r="N16" s="34">
        <f t="shared" si="9"/>
        <v>0.13754253694781363</v>
      </c>
      <c r="O16" s="34"/>
      <c r="P16">
        <v>31</v>
      </c>
      <c r="Q16" s="38">
        <f t="shared" si="1"/>
        <v>17.938757755054006</v>
      </c>
      <c r="R16" s="22">
        <f t="shared" si="11"/>
        <v>17.938757631364528</v>
      </c>
      <c r="S16" s="43">
        <f t="shared" si="12"/>
        <v>17.938746746045481</v>
      </c>
    </row>
    <row r="17" spans="1:19" x14ac:dyDescent="0.2">
      <c r="A17">
        <v>13</v>
      </c>
      <c r="B17">
        <v>32</v>
      </c>
      <c r="C17">
        <f t="shared" si="2"/>
        <v>0.53032135064529451</v>
      </c>
      <c r="D17">
        <f t="shared" si="3"/>
        <v>0.28124073495024943</v>
      </c>
      <c r="E17">
        <v>1.6999999999999999E-3</v>
      </c>
      <c r="F17">
        <f t="shared" si="0"/>
        <v>0.99829999999999997</v>
      </c>
      <c r="G17" s="34">
        <f t="shared" si="4"/>
        <v>0.98312262511448723</v>
      </c>
      <c r="H17" s="72">
        <f t="shared" si="5"/>
        <v>0.52137091840066241</v>
      </c>
      <c r="I17" s="72">
        <v>151.69634336010961</v>
      </c>
      <c r="J17" s="73">
        <f t="shared" si="6"/>
        <v>9.8632516364488119</v>
      </c>
      <c r="K17" s="73">
        <f t="shared" si="7"/>
        <v>97.283732843910158</v>
      </c>
      <c r="L17" s="34">
        <f t="shared" si="10"/>
        <v>1.6741545253877875E-3</v>
      </c>
      <c r="M17" s="34">
        <f t="shared" si="8"/>
        <v>1.651260736219928E-2</v>
      </c>
      <c r="N17" s="34">
        <f t="shared" si="9"/>
        <v>0.16286800158724873</v>
      </c>
      <c r="O17" s="34"/>
      <c r="P17">
        <v>32</v>
      </c>
      <c r="Q17" s="38">
        <f t="shared" si="1"/>
        <v>17.814376789437699</v>
      </c>
      <c r="R17" s="22">
        <f t="shared" si="11"/>
        <v>17.814376659354316</v>
      </c>
      <c r="S17" s="43">
        <f t="shared" si="12"/>
        <v>17.814365211338011</v>
      </c>
    </row>
    <row r="18" spans="1:19" x14ac:dyDescent="0.2">
      <c r="A18">
        <v>14</v>
      </c>
      <c r="B18">
        <v>33</v>
      </c>
      <c r="C18">
        <f t="shared" si="2"/>
        <v>0.50506795299551854</v>
      </c>
      <c r="D18">
        <f t="shared" si="3"/>
        <v>0.25509363714308331</v>
      </c>
      <c r="E18">
        <v>1.7900000000000001E-3</v>
      </c>
      <c r="F18">
        <f t="shared" si="0"/>
        <v>0.99821000000000004</v>
      </c>
      <c r="G18" s="34">
        <f t="shared" si="4"/>
        <v>0.98136283561553228</v>
      </c>
      <c r="H18" s="72">
        <f t="shared" si="5"/>
        <v>0.49565491853021443</v>
      </c>
      <c r="I18" s="72">
        <v>157.84950468608145</v>
      </c>
      <c r="J18" s="73">
        <f t="shared" si="6"/>
        <v>10.393572987094103</v>
      </c>
      <c r="K18" s="73">
        <f t="shared" si="7"/>
        <v>108.02635943805224</v>
      </c>
      <c r="L18" s="34">
        <f t="shared" si="10"/>
        <v>1.7597894989549324E-3</v>
      </c>
      <c r="M18" s="34">
        <f t="shared" si="8"/>
        <v>1.8290500599309853E-2</v>
      </c>
      <c r="N18" s="34">
        <f t="shared" si="9"/>
        <v>0.19010365294941539</v>
      </c>
      <c r="O18" s="34"/>
      <c r="P18">
        <v>33</v>
      </c>
      <c r="Q18" s="38">
        <f t="shared" si="1"/>
        <v>17.685160401592288</v>
      </c>
      <c r="R18" s="22">
        <f t="shared" si="11"/>
        <v>17.685160264772147</v>
      </c>
      <c r="S18" s="43">
        <f t="shared" si="12"/>
        <v>17.685148223885516</v>
      </c>
    </row>
    <row r="19" spans="1:19" x14ac:dyDescent="0.2">
      <c r="A19">
        <v>15</v>
      </c>
      <c r="B19">
        <v>34</v>
      </c>
      <c r="C19">
        <f t="shared" si="2"/>
        <v>0.48101709809097004</v>
      </c>
      <c r="D19">
        <f t="shared" si="3"/>
        <v>0.23137744865585788</v>
      </c>
      <c r="E19">
        <v>1.9E-3</v>
      </c>
      <c r="F19">
        <f t="shared" si="0"/>
        <v>0.99809999999999999</v>
      </c>
      <c r="G19" s="34">
        <f t="shared" si="4"/>
        <v>0.97949824622786275</v>
      </c>
      <c r="H19" s="72">
        <f t="shared" si="5"/>
        <v>0.47115540398572098</v>
      </c>
      <c r="I19" s="72">
        <v>164.24598022498824</v>
      </c>
      <c r="J19" s="73">
        <f t="shared" si="6"/>
        <v>10.898640940089628</v>
      </c>
      <c r="K19" s="73">
        <f t="shared" si="7"/>
        <v>118.78037434099772</v>
      </c>
      <c r="L19" s="34">
        <f t="shared" si="10"/>
        <v>1.8645893876695113E-3</v>
      </c>
      <c r="M19" s="34">
        <f t="shared" si="8"/>
        <v>2.0321490236911585E-2</v>
      </c>
      <c r="N19" s="34">
        <f t="shared" si="9"/>
        <v>0.22147662545963628</v>
      </c>
      <c r="O19" s="34"/>
      <c r="P19">
        <v>34</v>
      </c>
      <c r="Q19" s="38">
        <f t="shared" si="1"/>
        <v>17.550834415275247</v>
      </c>
      <c r="R19" s="22">
        <f t="shared" si="11"/>
        <v>17.550834271356482</v>
      </c>
      <c r="S19" s="43">
        <f t="shared" si="12"/>
        <v>17.550821605754091</v>
      </c>
    </row>
    <row r="20" spans="1:19" x14ac:dyDescent="0.2">
      <c r="A20">
        <v>16</v>
      </c>
      <c r="B20">
        <v>35</v>
      </c>
      <c r="C20">
        <f t="shared" si="2"/>
        <v>0.45811152199140004</v>
      </c>
      <c r="D20">
        <f t="shared" si="3"/>
        <v>0.20986616658127699</v>
      </c>
      <c r="E20">
        <v>2.0099999999999996E-3</v>
      </c>
      <c r="F20">
        <f t="shared" si="0"/>
        <v>0.99799000000000004</v>
      </c>
      <c r="G20" s="34">
        <f t="shared" si="4"/>
        <v>0.97752945475294484</v>
      </c>
      <c r="H20" s="72">
        <f t="shared" si="5"/>
        <v>0.44781750630829498</v>
      </c>
      <c r="I20" s="72">
        <v>170.88295685426075</v>
      </c>
      <c r="J20" s="73">
        <f t="shared" si="6"/>
        <v>11.379658038180597</v>
      </c>
      <c r="K20" s="73">
        <f t="shared" si="7"/>
        <v>129.49661706592829</v>
      </c>
      <c r="L20" s="34">
        <f t="shared" si="10"/>
        <v>1.9687914749180039E-3</v>
      </c>
      <c r="M20" s="34">
        <f t="shared" si="8"/>
        <v>2.2404173733052098E-2</v>
      </c>
      <c r="N20" s="34">
        <f t="shared" si="9"/>
        <v>0.25495183571012092</v>
      </c>
      <c r="O20" s="34"/>
      <c r="P20">
        <v>35</v>
      </c>
      <c r="Q20" s="38">
        <f t="shared" si="1"/>
        <v>17.411457906060527</v>
      </c>
      <c r="R20" s="22">
        <f t="shared" si="11"/>
        <v>17.411457754658159</v>
      </c>
      <c r="S20" s="43">
        <f t="shared" si="12"/>
        <v>17.411444430459671</v>
      </c>
    </row>
    <row r="21" spans="1:19" x14ac:dyDescent="0.2">
      <c r="A21">
        <v>17</v>
      </c>
      <c r="B21">
        <v>36</v>
      </c>
      <c r="C21">
        <f t="shared" si="2"/>
        <v>0.43629668761085716</v>
      </c>
      <c r="D21">
        <f t="shared" si="3"/>
        <v>0.19035479962020588</v>
      </c>
      <c r="E21">
        <v>2.14E-3</v>
      </c>
      <c r="F21">
        <f t="shared" si="0"/>
        <v>0.99785999999999997</v>
      </c>
      <c r="G21" s="34">
        <f t="shared" si="4"/>
        <v>0.97543754171977348</v>
      </c>
      <c r="H21" s="72">
        <f t="shared" si="5"/>
        <v>0.42558016842361446</v>
      </c>
      <c r="I21" s="72">
        <v>177.7744313038946</v>
      </c>
      <c r="J21" s="73">
        <f t="shared" si="6"/>
        <v>11.837769560171997</v>
      </c>
      <c r="K21" s="73">
        <f t="shared" si="7"/>
        <v>140.13278815973473</v>
      </c>
      <c r="L21" s="34">
        <f t="shared" si="10"/>
        <v>2.091913033171302E-3</v>
      </c>
      <c r="M21" s="34">
        <f t="shared" si="8"/>
        <v>2.4763584426602314E-2</v>
      </c>
      <c r="N21" s="34">
        <f t="shared" si="9"/>
        <v>0.29314560592598221</v>
      </c>
      <c r="O21" s="34"/>
      <c r="P21">
        <v>36</v>
      </c>
      <c r="Q21" s="38">
        <f t="shared" si="1"/>
        <v>17.266736942618216</v>
      </c>
      <c r="R21" s="22">
        <f t="shared" si="11"/>
        <v>17.266736783325552</v>
      </c>
      <c r="S21" s="43">
        <f t="shared" si="12"/>
        <v>17.266722764739782</v>
      </c>
    </row>
    <row r="22" spans="1:19" x14ac:dyDescent="0.2">
      <c r="A22">
        <v>18</v>
      </c>
      <c r="B22">
        <v>37</v>
      </c>
      <c r="C22">
        <f t="shared" si="2"/>
        <v>0.41552065486748302</v>
      </c>
      <c r="D22">
        <f t="shared" si="3"/>
        <v>0.17265741462150194</v>
      </c>
      <c r="E22">
        <v>2.2799999999999999E-3</v>
      </c>
      <c r="F22">
        <f t="shared" si="0"/>
        <v>0.99772000000000005</v>
      </c>
      <c r="G22" s="34">
        <f t="shared" si="4"/>
        <v>0.97321354412465244</v>
      </c>
      <c r="H22" s="72">
        <f t="shared" si="5"/>
        <v>0.40439032918057966</v>
      </c>
      <c r="I22" s="72">
        <v>184.91887927072872</v>
      </c>
      <c r="J22" s="73">
        <f t="shared" si="6"/>
        <v>12.274066247782853</v>
      </c>
      <c r="K22" s="73">
        <f t="shared" si="7"/>
        <v>150.65270225496226</v>
      </c>
      <c r="L22" s="34">
        <f t="shared" si="10"/>
        <v>2.2239975951210836E-3</v>
      </c>
      <c r="M22" s="34">
        <f t="shared" si="8"/>
        <v>2.7297493817425928E-2</v>
      </c>
      <c r="N22" s="34">
        <f t="shared" si="9"/>
        <v>0.33505124751352872</v>
      </c>
      <c r="O22" s="34"/>
      <c r="P22">
        <v>37</v>
      </c>
      <c r="Q22" s="38">
        <f t="shared" si="1"/>
        <v>17.116703535314699</v>
      </c>
      <c r="R22" s="22">
        <f t="shared" si="11"/>
        <v>17.116703367698708</v>
      </c>
      <c r="S22" s="43">
        <f t="shared" si="12"/>
        <v>17.116688616616333</v>
      </c>
    </row>
    <row r="23" spans="1:19" x14ac:dyDescent="0.2">
      <c r="A23">
        <v>19</v>
      </c>
      <c r="B23">
        <v>38</v>
      </c>
      <c r="C23">
        <f t="shared" si="2"/>
        <v>0.39573395701665048</v>
      </c>
      <c r="D23">
        <f t="shared" si="3"/>
        <v>0.15660536473605619</v>
      </c>
      <c r="E23">
        <v>2.4300000000000003E-3</v>
      </c>
      <c r="F23">
        <f t="shared" si="0"/>
        <v>0.99756999999999996</v>
      </c>
      <c r="G23" s="34">
        <f t="shared" si="4"/>
        <v>0.97084863521242948</v>
      </c>
      <c r="H23" s="72">
        <f t="shared" si="5"/>
        <v>0.38419777207682937</v>
      </c>
      <c r="I23" s="72">
        <v>192.32332040478806</v>
      </c>
      <c r="J23" s="73">
        <f t="shared" si="6"/>
        <v>12.689586902650337</v>
      </c>
      <c r="K23" s="73">
        <f t="shared" si="7"/>
        <v>161.02561575991498</v>
      </c>
      <c r="L23" s="34">
        <f t="shared" si="10"/>
        <v>2.3649089122229059E-3</v>
      </c>
      <c r="M23" s="34">
        <f t="shared" si="8"/>
        <v>3.0009717158504843E-2</v>
      </c>
      <c r="N23" s="34">
        <f t="shared" si="9"/>
        <v>0.38081091380680415</v>
      </c>
      <c r="O23" s="34"/>
      <c r="P23">
        <v>38</v>
      </c>
      <c r="Q23" s="38">
        <f t="shared" si="1"/>
        <v>16.961210271499453</v>
      </c>
      <c r="R23" s="22">
        <f t="shared" si="11"/>
        <v>16.961210095100473</v>
      </c>
      <c r="S23" s="43">
        <f t="shared" si="12"/>
        <v>16.961194571069186</v>
      </c>
    </row>
    <row r="24" spans="1:19" x14ac:dyDescent="0.2">
      <c r="A24">
        <v>20</v>
      </c>
      <c r="B24">
        <v>39</v>
      </c>
      <c r="C24">
        <f t="shared" si="2"/>
        <v>0.37688948287300045</v>
      </c>
      <c r="D24">
        <f t="shared" si="3"/>
        <v>0.1420456823002777</v>
      </c>
      <c r="E24">
        <v>2.5999999999999999E-3</v>
      </c>
      <c r="F24">
        <f t="shared" si="0"/>
        <v>0.99739999999999995</v>
      </c>
      <c r="G24" s="34">
        <f t="shared" si="4"/>
        <v>0.9683244287608771</v>
      </c>
      <c r="H24" s="72">
        <f t="shared" si="5"/>
        <v>0.36495129320898051</v>
      </c>
      <c r="I24" s="72">
        <v>199.99547543032315</v>
      </c>
      <c r="J24" s="73">
        <f t="shared" si="6"/>
        <v>13.085320859666988</v>
      </c>
      <c r="K24" s="73">
        <f t="shared" si="7"/>
        <v>171.225622000436</v>
      </c>
      <c r="L24" s="34">
        <f t="shared" si="10"/>
        <v>2.5242064515523166E-3</v>
      </c>
      <c r="M24" s="34">
        <f t="shared" si="8"/>
        <v>3.3030051334603516E-2</v>
      </c>
      <c r="N24" s="34">
        <f t="shared" si="9"/>
        <v>0.43220881972455882</v>
      </c>
      <c r="O24" s="34"/>
      <c r="P24">
        <v>39</v>
      </c>
      <c r="Q24" s="38">
        <f t="shared" si="1"/>
        <v>16.800095015963215</v>
      </c>
      <c r="R24" s="22">
        <f t="shared" si="11"/>
        <v>16.800094830293109</v>
      </c>
      <c r="S24" s="43">
        <f t="shared" si="12"/>
        <v>16.800078490354206</v>
      </c>
    </row>
    <row r="25" spans="1:19" x14ac:dyDescent="0.2">
      <c r="A25">
        <v>21</v>
      </c>
      <c r="B25">
        <v>40</v>
      </c>
      <c r="C25">
        <f t="shared" si="2"/>
        <v>0.35894236464095275</v>
      </c>
      <c r="D25">
        <f t="shared" si="3"/>
        <v>0.12883962113403868</v>
      </c>
      <c r="E25">
        <v>2.7799999999999999E-3</v>
      </c>
      <c r="F25">
        <f t="shared" si="0"/>
        <v>0.99722</v>
      </c>
      <c r="G25" s="34">
        <f t="shared" si="4"/>
        <v>0.96563248684892189</v>
      </c>
      <c r="H25" s="72">
        <f t="shared" si="5"/>
        <v>0.34660640820367572</v>
      </c>
      <c r="I25" s="72">
        <v>207.93588249632981</v>
      </c>
      <c r="J25" s="73">
        <f t="shared" si="6"/>
        <v>13.46221034253999</v>
      </c>
      <c r="K25" s="73">
        <f t="shared" si="7"/>
        <v>181.23110730679068</v>
      </c>
      <c r="L25" s="34">
        <f t="shared" si="10"/>
        <v>2.6919419119552381E-3</v>
      </c>
      <c r="M25" s="34">
        <f t="shared" si="8"/>
        <v>3.6239488248640685E-2</v>
      </c>
      <c r="N25" s="34">
        <f t="shared" si="9"/>
        <v>0.48786361350920704</v>
      </c>
      <c r="O25" s="34"/>
      <c r="P25">
        <v>40</v>
      </c>
      <c r="Q25" s="38">
        <f t="shared" si="1"/>
        <v>16.633346467577077</v>
      </c>
      <c r="R25" s="22">
        <f t="shared" si="11"/>
        <v>16.633346272115265</v>
      </c>
      <c r="S25" s="43">
        <f t="shared" si="12"/>
        <v>16.633329070455101</v>
      </c>
    </row>
    <row r="26" spans="1:19" x14ac:dyDescent="0.2">
      <c r="A26">
        <v>22</v>
      </c>
      <c r="B26">
        <v>41</v>
      </c>
      <c r="C26">
        <f t="shared" si="2"/>
        <v>0.34184987108662168</v>
      </c>
      <c r="D26">
        <f t="shared" si="3"/>
        <v>0.11686133436193986</v>
      </c>
      <c r="E26">
        <v>2.98E-3</v>
      </c>
      <c r="F26">
        <f t="shared" si="0"/>
        <v>0.99702000000000002</v>
      </c>
      <c r="G26" s="34">
        <f t="shared" si="4"/>
        <v>0.96275490203811209</v>
      </c>
      <c r="H26" s="72">
        <f t="shared" si="5"/>
        <v>0.32911763914974168</v>
      </c>
      <c r="I26" s="72">
        <v>216.15358358350844</v>
      </c>
      <c r="J26" s="73">
        <f t="shared" si="6"/>
        <v>13.821152707180941</v>
      </c>
      <c r="K26" s="73">
        <f t="shared" si="7"/>
        <v>191.02426215521504</v>
      </c>
      <c r="L26" s="34">
        <f t="shared" si="10"/>
        <v>2.8775848108097872E-3</v>
      </c>
      <c r="M26" s="34">
        <f t="shared" si="8"/>
        <v>3.9771539098066445E-2</v>
      </c>
      <c r="N26" s="34">
        <f t="shared" si="9"/>
        <v>0.54968851527399365</v>
      </c>
      <c r="O26" s="34"/>
      <c r="P26">
        <v>41</v>
      </c>
      <c r="Q26" s="38">
        <f t="shared" si="1"/>
        <v>16.460774744746324</v>
      </c>
      <c r="R26" s="22">
        <f t="shared" si="11"/>
        <v>16.46077453893928</v>
      </c>
      <c r="S26" s="43">
        <f t="shared" si="12"/>
        <v>16.460756426844483</v>
      </c>
    </row>
    <row r="27" spans="1:19" x14ac:dyDescent="0.2">
      <c r="A27">
        <v>23</v>
      </c>
      <c r="B27">
        <v>42</v>
      </c>
      <c r="C27">
        <f t="shared" si="2"/>
        <v>0.32557130579678251</v>
      </c>
      <c r="D27">
        <f t="shared" si="3"/>
        <v>0.10599667515822207</v>
      </c>
      <c r="E27">
        <v>3.2000000000000002E-3</v>
      </c>
      <c r="F27">
        <f t="shared" si="0"/>
        <v>0.99680000000000002</v>
      </c>
      <c r="G27" s="34">
        <f t="shared" si="4"/>
        <v>0.95967408635159013</v>
      </c>
      <c r="H27" s="72">
        <f t="shared" si="5"/>
        <v>0.3124423454328214</v>
      </c>
      <c r="I27" s="72">
        <v>224.65072191398755</v>
      </c>
      <c r="J27" s="73">
        <f t="shared" si="6"/>
        <v>14.163002578267562</v>
      </c>
      <c r="K27" s="73">
        <f t="shared" si="7"/>
        <v>200.59064203201362</v>
      </c>
      <c r="L27" s="34">
        <f t="shared" si="10"/>
        <v>3.0808156865219588E-3</v>
      </c>
      <c r="M27" s="34">
        <f t="shared" si="8"/>
        <v>4.363360051137765E-2</v>
      </c>
      <c r="N27" s="34">
        <f t="shared" si="9"/>
        <v>0.61798279654173849</v>
      </c>
      <c r="O27" s="34"/>
      <c r="P27">
        <v>42</v>
      </c>
      <c r="Q27" s="38">
        <f t="shared" si="1"/>
        <v>16.282334839806264</v>
      </c>
      <c r="R27" s="22">
        <f t="shared" si="11"/>
        <v>16.282334623062972</v>
      </c>
      <c r="S27" s="43">
        <f t="shared" si="12"/>
        <v>16.2823155485213</v>
      </c>
    </row>
    <row r="28" spans="1:19" x14ac:dyDescent="0.2">
      <c r="A28">
        <v>24</v>
      </c>
      <c r="B28">
        <v>43</v>
      </c>
      <c r="C28">
        <f t="shared" si="2"/>
        <v>0.31006791028265002</v>
      </c>
      <c r="D28">
        <f t="shared" si="3"/>
        <v>9.6142108987049502E-2</v>
      </c>
      <c r="E28">
        <v>3.4399999999999999E-3</v>
      </c>
      <c r="F28">
        <f t="shared" si="0"/>
        <v>0.99656</v>
      </c>
      <c r="G28" s="34">
        <f t="shared" si="4"/>
        <v>0.95637280749454068</v>
      </c>
      <c r="H28" s="72">
        <f t="shared" si="5"/>
        <v>0.29654051787098334</v>
      </c>
      <c r="I28" s="72">
        <v>233.43023476092191</v>
      </c>
      <c r="J28" s="73">
        <f t="shared" si="6"/>
        <v>14.488573884064344</v>
      </c>
      <c r="K28" s="73">
        <f t="shared" si="7"/>
        <v>209.91877319399134</v>
      </c>
      <c r="L28" s="34">
        <f t="shared" si="10"/>
        <v>3.30127885704947E-3</v>
      </c>
      <c r="M28" s="34">
        <f t="shared" si="8"/>
        <v>4.7830822632260739E-2</v>
      </c>
      <c r="N28" s="34">
        <f t="shared" si="9"/>
        <v>0.69300040764308668</v>
      </c>
      <c r="O28" s="34"/>
      <c r="P28">
        <v>43</v>
      </c>
      <c r="Q28" s="38">
        <f t="shared" si="1"/>
        <v>16.097965070020642</v>
      </c>
      <c r="R28" s="22">
        <f t="shared" si="11"/>
        <v>16.097964841709594</v>
      </c>
      <c r="S28" s="43">
        <f t="shared" si="12"/>
        <v>16.097944749144631</v>
      </c>
    </row>
    <row r="29" spans="1:19" x14ac:dyDescent="0.2">
      <c r="A29">
        <v>25</v>
      </c>
      <c r="B29">
        <v>44</v>
      </c>
      <c r="C29">
        <f t="shared" si="2"/>
        <v>0.29530277169776192</v>
      </c>
      <c r="D29">
        <f t="shared" si="3"/>
        <v>8.7203726972380505E-2</v>
      </c>
      <c r="E29">
        <v>3.7099999999999998E-3</v>
      </c>
      <c r="F29">
        <f t="shared" si="0"/>
        <v>0.99629000000000001</v>
      </c>
      <c r="G29" s="34">
        <f t="shared" si="4"/>
        <v>0.95282466437873592</v>
      </c>
      <c r="H29" s="72">
        <f t="shared" si="5"/>
        <v>0.28137176433303046</v>
      </c>
      <c r="I29" s="72">
        <v>242.49593250679132</v>
      </c>
      <c r="J29" s="73">
        <f t="shared" si="6"/>
        <v>14.798641794346997</v>
      </c>
      <c r="K29" s="73">
        <f t="shared" si="7"/>
        <v>218.99979895739369</v>
      </c>
      <c r="L29" s="34">
        <f t="shared" si="10"/>
        <v>3.5481431158047457E-3</v>
      </c>
      <c r="M29" s="34">
        <f t="shared" si="8"/>
        <v>5.2507699005872689E-2</v>
      </c>
      <c r="N29" s="34">
        <f t="shared" si="9"/>
        <v>0.77704262903329979</v>
      </c>
      <c r="O29" s="34"/>
      <c r="P29">
        <v>44</v>
      </c>
      <c r="Q29" s="38">
        <f t="shared" si="1"/>
        <v>15.907585417357382</v>
      </c>
      <c r="R29" s="22">
        <f t="shared" si="11"/>
        <v>15.907585176803277</v>
      </c>
      <c r="S29" s="43">
        <f t="shared" si="12"/>
        <v>15.907564006785204</v>
      </c>
    </row>
    <row r="30" spans="1:19" x14ac:dyDescent="0.2">
      <c r="A30">
        <v>26</v>
      </c>
      <c r="B30">
        <v>45</v>
      </c>
      <c r="C30">
        <f t="shared" si="2"/>
        <v>0.28124073495024943</v>
      </c>
      <c r="D30">
        <f t="shared" si="3"/>
        <v>7.9096350995356446E-2</v>
      </c>
      <c r="E30">
        <v>4.0000000000000001E-3</v>
      </c>
      <c r="F30">
        <f t="shared" si="0"/>
        <v>0.996</v>
      </c>
      <c r="G30" s="34">
        <f t="shared" si="4"/>
        <v>0.94901336572122097</v>
      </c>
      <c r="H30" s="72">
        <f t="shared" si="5"/>
        <v>0.26690121645304604</v>
      </c>
      <c r="I30" s="72">
        <v>251.84507435799907</v>
      </c>
      <c r="J30" s="73">
        <f t="shared" si="6"/>
        <v>15.09394456604476</v>
      </c>
      <c r="K30" s="73">
        <f t="shared" si="7"/>
        <v>227.82716256283214</v>
      </c>
      <c r="L30" s="34">
        <f t="shared" si="10"/>
        <v>3.8112986575149438E-3</v>
      </c>
      <c r="M30" s="34">
        <f t="shared" si="8"/>
        <v>5.7527530661171375E-2</v>
      </c>
      <c r="N30" s="34">
        <f t="shared" si="9"/>
        <v>0.86831735882116101</v>
      </c>
      <c r="O30" s="34"/>
      <c r="P30">
        <v>45</v>
      </c>
      <c r="Q30" s="38">
        <f t="shared" si="1"/>
        <v>15.71125343848202</v>
      </c>
      <c r="R30" s="22">
        <f t="shared" si="11"/>
        <v>15.711253184959642</v>
      </c>
      <c r="S30" s="43">
        <f t="shared" si="12"/>
        <v>15.711230873665764</v>
      </c>
    </row>
    <row r="31" spans="1:19" x14ac:dyDescent="0.2">
      <c r="A31">
        <v>27</v>
      </c>
      <c r="B31">
        <v>46</v>
      </c>
      <c r="C31">
        <f t="shared" si="2"/>
        <v>0.26784831900023753</v>
      </c>
      <c r="D31">
        <f t="shared" si="3"/>
        <v>7.1742721991253006E-2</v>
      </c>
      <c r="E31">
        <v>4.3099999999999996E-3</v>
      </c>
      <c r="F31">
        <f t="shared" si="0"/>
        <v>0.99568999999999996</v>
      </c>
      <c r="G31" s="34">
        <f t="shared" si="4"/>
        <v>0.94492311811496243</v>
      </c>
      <c r="H31" s="72">
        <f t="shared" si="5"/>
        <v>0.2530960687715556</v>
      </c>
      <c r="I31" s="72">
        <v>261.48326112038058</v>
      </c>
      <c r="J31" s="73">
        <f t="shared" si="6"/>
        <v>15.375185300995007</v>
      </c>
      <c r="K31" s="73">
        <f t="shared" si="7"/>
        <v>236.39632303993292</v>
      </c>
      <c r="L31" s="34">
        <f t="shared" si="10"/>
        <v>4.0902476062584618E-3</v>
      </c>
      <c r="M31" s="34">
        <f t="shared" si="8"/>
        <v>6.2888314873175116E-2</v>
      </c>
      <c r="N31" s="34">
        <f t="shared" si="9"/>
        <v>0.96691949444238767</v>
      </c>
      <c r="O31" s="34"/>
      <c r="P31">
        <v>46</v>
      </c>
      <c r="Q31" s="38">
        <f t="shared" si="1"/>
        <v>15.508851516472008</v>
      </c>
      <c r="R31" s="22">
        <f t="shared" si="11"/>
        <v>15.508851249204442</v>
      </c>
      <c r="S31" s="43">
        <f t="shared" si="12"/>
        <v>15.508827728262101</v>
      </c>
    </row>
    <row r="32" spans="1:19" x14ac:dyDescent="0.2">
      <c r="A32">
        <v>28</v>
      </c>
      <c r="B32">
        <v>47</v>
      </c>
      <c r="C32">
        <f t="shared" si="2"/>
        <v>0.25509363714308336</v>
      </c>
      <c r="D32">
        <f t="shared" si="3"/>
        <v>6.5072763710887077E-2</v>
      </c>
      <c r="E32">
        <v>4.6600000000000001E-3</v>
      </c>
      <c r="F32">
        <f t="shared" si="0"/>
        <v>0.99534</v>
      </c>
      <c r="G32" s="34">
        <f t="shared" si="4"/>
        <v>0.94051977638454676</v>
      </c>
      <c r="H32" s="72">
        <f t="shared" si="5"/>
        <v>0.23992061056293348</v>
      </c>
      <c r="I32" s="72">
        <v>271.41723244825164</v>
      </c>
      <c r="J32" s="73">
        <f t="shared" si="6"/>
        <v>15.643033619995245</v>
      </c>
      <c r="K32" s="73">
        <f t="shared" si="7"/>
        <v>244.70450083630155</v>
      </c>
      <c r="L32" s="34">
        <f t="shared" si="10"/>
        <v>4.4033417304157252E-3</v>
      </c>
      <c r="M32" s="34">
        <f t="shared" si="8"/>
        <v>6.8881622729221229E-2</v>
      </c>
      <c r="N32" s="34">
        <f t="shared" si="9"/>
        <v>1.0775175401530364</v>
      </c>
      <c r="O32" s="34"/>
      <c r="P32">
        <v>47</v>
      </c>
      <c r="Q32" s="38">
        <f t="shared" si="1"/>
        <v>15.300238118586716</v>
      </c>
      <c r="R32" s="22">
        <f t="shared" si="11"/>
        <v>15.300237836741019</v>
      </c>
      <c r="S32" s="43">
        <f t="shared" si="12"/>
        <v>15.300213032846777</v>
      </c>
    </row>
    <row r="33" spans="1:19" x14ac:dyDescent="0.2">
      <c r="A33">
        <v>29</v>
      </c>
      <c r="B33">
        <v>48</v>
      </c>
      <c r="C33">
        <f t="shared" si="2"/>
        <v>0.2429463210886508</v>
      </c>
      <c r="D33">
        <f t="shared" si="3"/>
        <v>5.9022914930509811E-2</v>
      </c>
      <c r="E33">
        <v>5.0400000000000002E-3</v>
      </c>
      <c r="F33">
        <f t="shared" si="0"/>
        <v>0.99495999999999996</v>
      </c>
      <c r="G33" s="34">
        <f t="shared" si="4"/>
        <v>0.93577955671156865</v>
      </c>
      <c r="H33" s="72">
        <f t="shared" si="5"/>
        <v>0.22734420065304406</v>
      </c>
      <c r="I33" s="72">
        <v>281.64053898232191</v>
      </c>
      <c r="J33" s="73">
        <f t="shared" si="6"/>
        <v>15.898127257138329</v>
      </c>
      <c r="K33" s="73">
        <f t="shared" si="7"/>
        <v>252.75045028416469</v>
      </c>
      <c r="L33" s="34">
        <f t="shared" si="10"/>
        <v>4.7402196729781155E-3</v>
      </c>
      <c r="M33" s="34">
        <f t="shared" si="8"/>
        <v>7.536061558779672E-2</v>
      </c>
      <c r="N33" s="34">
        <f t="shared" si="9"/>
        <v>1.1980926567910746</v>
      </c>
      <c r="O33" s="34"/>
      <c r="P33">
        <v>48</v>
      </c>
      <c r="Q33" s="38">
        <f t="shared" si="1"/>
        <v>15.085548681371241</v>
      </c>
      <c r="R33" s="22">
        <f t="shared" si="11"/>
        <v>15.085548384047733</v>
      </c>
      <c r="S33" s="43">
        <f t="shared" si="12"/>
        <v>15.085522218025114</v>
      </c>
    </row>
    <row r="34" spans="1:19" x14ac:dyDescent="0.2">
      <c r="A34">
        <v>30</v>
      </c>
      <c r="B34">
        <v>49</v>
      </c>
      <c r="C34">
        <f t="shared" si="2"/>
        <v>0.23137744865585788</v>
      </c>
      <c r="D34">
        <f t="shared" si="3"/>
        <v>5.3535523746494153E-2</v>
      </c>
      <c r="E34">
        <v>5.4599999999999996E-3</v>
      </c>
      <c r="F34">
        <f t="shared" si="0"/>
        <v>0.99453999999999998</v>
      </c>
      <c r="G34" s="34">
        <f t="shared" si="4"/>
        <v>0.93067020033192349</v>
      </c>
      <c r="H34" s="72">
        <f t="shared" si="5"/>
        <v>0.21533609649283661</v>
      </c>
      <c r="I34" s="72">
        <v>292.15502726887308</v>
      </c>
      <c r="J34" s="73">
        <f t="shared" si="6"/>
        <v>16.14107357822698</v>
      </c>
      <c r="K34" s="73">
        <f t="shared" si="7"/>
        <v>260.53425625773713</v>
      </c>
      <c r="L34" s="34">
        <f t="shared" si="10"/>
        <v>5.1093563796451641E-3</v>
      </c>
      <c r="M34" s="34">
        <f t="shared" si="8"/>
        <v>8.2470497261236009E-2</v>
      </c>
      <c r="N34" s="34">
        <f t="shared" si="9"/>
        <v>1.3311623643265771</v>
      </c>
      <c r="O34" s="34"/>
      <c r="P34">
        <v>49</v>
      </c>
      <c r="Q34" s="38">
        <f t="shared" si="1"/>
        <v>14.864744427353665</v>
      </c>
      <c r="R34" s="22">
        <f t="shared" si="11"/>
        <v>14.864744113582578</v>
      </c>
      <c r="S34" s="43">
        <f t="shared" si="12"/>
        <v>14.864716500086809</v>
      </c>
    </row>
    <row r="35" spans="1:19" x14ac:dyDescent="0.2">
      <c r="A35">
        <v>31</v>
      </c>
      <c r="B35">
        <v>50</v>
      </c>
      <c r="C35">
        <f t="shared" si="2"/>
        <v>0.22035947491034086</v>
      </c>
      <c r="D35">
        <f t="shared" si="3"/>
        <v>4.8558298182761139E-2</v>
      </c>
      <c r="E35">
        <v>5.9199999999999999E-3</v>
      </c>
      <c r="F35">
        <f t="shared" si="0"/>
        <v>0.99407999999999996</v>
      </c>
      <c r="G35" s="34">
        <f t="shared" si="4"/>
        <v>0.9251606327459585</v>
      </c>
      <c r="H35" s="72">
        <f t="shared" si="5"/>
        <v>0.20386791123961812</v>
      </c>
      <c r="I35" s="72">
        <v>302.95692343426788</v>
      </c>
      <c r="J35" s="73">
        <f t="shared" si="6"/>
        <v>16.372451026882839</v>
      </c>
      <c r="K35" s="73">
        <f t="shared" si="7"/>
        <v>268.05715262767694</v>
      </c>
      <c r="L35" s="34">
        <f t="shared" si="10"/>
        <v>5.5095675859649874E-3</v>
      </c>
      <c r="M35" s="34">
        <f t="shared" si="8"/>
        <v>9.0205125480512863E-2</v>
      </c>
      <c r="N35" s="34">
        <f t="shared" si="9"/>
        <v>1.4768789993035183</v>
      </c>
      <c r="O35" s="34"/>
      <c r="P35">
        <v>50</v>
      </c>
      <c r="Q35" s="38">
        <f t="shared" si="1"/>
        <v>14.637904607880374</v>
      </c>
      <c r="R35" s="22">
        <f t="shared" si="11"/>
        <v>14.637904276612009</v>
      </c>
      <c r="S35" s="43">
        <f t="shared" si="12"/>
        <v>14.637875123264172</v>
      </c>
    </row>
    <row r="36" spans="1:19" x14ac:dyDescent="0.2">
      <c r="A36">
        <v>32</v>
      </c>
      <c r="B36">
        <v>51</v>
      </c>
      <c r="C36">
        <f t="shared" si="2"/>
        <v>0.20986616658127699</v>
      </c>
      <c r="D36">
        <f t="shared" si="3"/>
        <v>4.4043807875520306E-2</v>
      </c>
      <c r="E36">
        <v>6.4200000000000004E-3</v>
      </c>
      <c r="F36">
        <f t="shared" si="0"/>
        <v>0.99358000000000002</v>
      </c>
      <c r="G36" s="34">
        <f t="shared" si="4"/>
        <v>0.91922110148372949</v>
      </c>
      <c r="H36" s="72">
        <f t="shared" si="5"/>
        <v>0.19291340880900928</v>
      </c>
      <c r="I36" s="72">
        <v>314.04390955052043</v>
      </c>
      <c r="J36" s="73">
        <f t="shared" si="6"/>
        <v>16.592810501793178</v>
      </c>
      <c r="K36" s="73">
        <f t="shared" si="7"/>
        <v>275.32136034841795</v>
      </c>
      <c r="L36" s="34">
        <f t="shared" si="10"/>
        <v>5.9395312622290541E-3</v>
      </c>
      <c r="M36" s="34">
        <f t="shared" si="8"/>
        <v>9.8553516703643138E-2</v>
      </c>
      <c r="N36" s="34">
        <f t="shared" si="9"/>
        <v>1.6352798269488591</v>
      </c>
      <c r="O36" s="34"/>
      <c r="P36">
        <v>51</v>
      </c>
      <c r="Q36" s="38">
        <f t="shared" si="1"/>
        <v>14.405077899439073</v>
      </c>
      <c r="R36" s="22">
        <f t="shared" si="11"/>
        <v>14.405077549535863</v>
      </c>
      <c r="S36" s="43">
        <f t="shared" si="12"/>
        <v>14.405046756224229</v>
      </c>
    </row>
    <row r="37" spans="1:19" x14ac:dyDescent="0.2">
      <c r="A37">
        <v>33</v>
      </c>
      <c r="B37">
        <v>52</v>
      </c>
      <c r="C37">
        <f t="shared" si="2"/>
        <v>0.19987253960121618</v>
      </c>
      <c r="D37">
        <f t="shared" si="3"/>
        <v>3.9949032086639726E-2</v>
      </c>
      <c r="E37">
        <v>6.9699999999999996E-3</v>
      </c>
      <c r="F37">
        <f t="shared" si="0"/>
        <v>0.99302999999999997</v>
      </c>
      <c r="G37" s="34">
        <f t="shared" si="4"/>
        <v>0.91281413040638781</v>
      </c>
      <c r="H37" s="72">
        <f t="shared" si="5"/>
        <v>0.18244647842820044</v>
      </c>
      <c r="I37" s="72">
        <v>325.415271068305</v>
      </c>
      <c r="J37" s="73">
        <f t="shared" si="6"/>
        <v>16.80267666837446</v>
      </c>
      <c r="K37" s="73">
        <f t="shared" si="7"/>
        <v>282.32994322193542</v>
      </c>
      <c r="L37" s="34">
        <f t="shared" si="10"/>
        <v>6.4069710773415941E-3</v>
      </c>
      <c r="M37" s="34">
        <f t="shared" si="8"/>
        <v>0.10765426343619758</v>
      </c>
      <c r="N37" s="34">
        <f t="shared" si="9"/>
        <v>1.8088797804904346</v>
      </c>
      <c r="O37" s="34"/>
      <c r="P37">
        <v>52</v>
      </c>
      <c r="Q37" s="38">
        <f t="shared" ref="Q37:Q68" si="13">(1-I37/1000)/($C$2/(1+$C$2))</f>
        <v>14.166279307565597</v>
      </c>
      <c r="R37" s="22">
        <f t="shared" si="11"/>
        <v>14.16627893779329</v>
      </c>
      <c r="S37" s="43">
        <f t="shared" si="12"/>
        <v>14.166246395897101</v>
      </c>
    </row>
    <row r="38" spans="1:19" x14ac:dyDescent="0.2">
      <c r="A38">
        <v>34</v>
      </c>
      <c r="B38">
        <v>53</v>
      </c>
      <c r="C38">
        <f t="shared" si="2"/>
        <v>0.19035479962020588</v>
      </c>
      <c r="D38">
        <f t="shared" si="3"/>
        <v>3.6234949738448735E-2</v>
      </c>
      <c r="E38">
        <v>7.5799999999999999E-3</v>
      </c>
      <c r="F38">
        <f t="shared" si="0"/>
        <v>0.99241999999999997</v>
      </c>
      <c r="G38" s="34">
        <f t="shared" ref="G38:G69" si="14">F38*G37</f>
        <v>0.9058949992979074</v>
      </c>
      <c r="H38" s="72">
        <f t="shared" si="5"/>
        <v>0.17244146106829972</v>
      </c>
      <c r="I38" s="72">
        <v>337.06538032256856</v>
      </c>
      <c r="J38" s="73">
        <f t="shared" si="6"/>
        <v>17.002549207975672</v>
      </c>
      <c r="K38" s="73">
        <f t="shared" si="7"/>
        <v>289.08667956963416</v>
      </c>
      <c r="L38" s="34">
        <f t="shared" si="10"/>
        <v>6.9191311084804193E-3</v>
      </c>
      <c r="M38" s="34">
        <f t="shared" si="8"/>
        <v>0.11764286714837359</v>
      </c>
      <c r="N38" s="34">
        <f t="shared" si="9"/>
        <v>2.0002286376575666</v>
      </c>
      <c r="O38" s="34"/>
      <c r="P38">
        <v>53</v>
      </c>
      <c r="Q38" s="38">
        <f t="shared" si="13"/>
        <v>13.921627013226063</v>
      </c>
      <c r="R38" s="22">
        <f t="shared" si="11"/>
        <v>13.921626622239968</v>
      </c>
      <c r="S38" s="43">
        <f t="shared" si="12"/>
        <v>13.92159221341949</v>
      </c>
    </row>
    <row r="39" spans="1:19" x14ac:dyDescent="0.2">
      <c r="A39">
        <v>35</v>
      </c>
      <c r="B39">
        <v>54</v>
      </c>
      <c r="C39">
        <f t="shared" si="2"/>
        <v>0.18129028535257702</v>
      </c>
      <c r="D39">
        <f t="shared" si="3"/>
        <v>3.28661675632188E-2</v>
      </c>
      <c r="E39">
        <v>8.2400000000000008E-3</v>
      </c>
      <c r="F39">
        <f t="shared" si="0"/>
        <v>0.99175999999999997</v>
      </c>
      <c r="G39" s="34">
        <f t="shared" si="14"/>
        <v>0.89843042450369259</v>
      </c>
      <c r="H39" s="72">
        <f t="shared" si="5"/>
        <v>0.16287670802771134</v>
      </c>
      <c r="I39" s="72">
        <v>348.98394766197475</v>
      </c>
      <c r="J39" s="73">
        <f t="shared" si="6"/>
        <v>17.192904007595882</v>
      </c>
      <c r="K39" s="73">
        <f t="shared" si="7"/>
        <v>295.59594821440652</v>
      </c>
      <c r="L39" s="34">
        <f t="shared" si="10"/>
        <v>7.4645747942147581E-3</v>
      </c>
      <c r="M39" s="34">
        <f t="shared" si="8"/>
        <v>0.12833771789445411</v>
      </c>
      <c r="N39" s="34">
        <f t="shared" si="9"/>
        <v>2.2064980643132697</v>
      </c>
      <c r="O39" s="34"/>
      <c r="P39">
        <v>54</v>
      </c>
      <c r="Q39" s="38">
        <f t="shared" si="13"/>
        <v>13.671337099098531</v>
      </c>
      <c r="R39" s="22">
        <f t="shared" si="11"/>
        <v>13.671336685427509</v>
      </c>
      <c r="S39" s="43">
        <f t="shared" si="12"/>
        <v>13.671300280214492</v>
      </c>
    </row>
    <row r="40" spans="1:19" x14ac:dyDescent="0.2">
      <c r="A40">
        <v>36</v>
      </c>
      <c r="B40">
        <v>55</v>
      </c>
      <c r="C40">
        <f t="shared" si="2"/>
        <v>0.17265741462150191</v>
      </c>
      <c r="D40">
        <f t="shared" si="3"/>
        <v>2.9810582823781222E-2</v>
      </c>
      <c r="E40">
        <v>8.9600000000000009E-3</v>
      </c>
      <c r="F40">
        <f t="shared" si="0"/>
        <v>0.99104000000000003</v>
      </c>
      <c r="G40" s="34">
        <f t="shared" si="14"/>
        <v>0.89038048790013957</v>
      </c>
      <c r="H40" s="72">
        <f t="shared" si="5"/>
        <v>0.15373079307026957</v>
      </c>
      <c r="I40" s="72">
        <v>361.16917908069848</v>
      </c>
      <c r="J40" s="73">
        <f t="shared" si="6"/>
        <v>17.374194292948456</v>
      </c>
      <c r="K40" s="73">
        <f t="shared" si="7"/>
        <v>301.86262732912269</v>
      </c>
      <c r="L40" s="34">
        <f t="shared" si="10"/>
        <v>8.0499366035530866E-3</v>
      </c>
      <c r="M40" s="34">
        <f t="shared" si="8"/>
        <v>0.13986116259604892</v>
      </c>
      <c r="N40" s="34">
        <f t="shared" si="9"/>
        <v>2.4299750129814091</v>
      </c>
      <c r="O40" s="34"/>
      <c r="P40">
        <v>55</v>
      </c>
      <c r="Q40" s="38">
        <f t="shared" si="13"/>
        <v>13.415447239305331</v>
      </c>
      <c r="R40" s="22">
        <f t="shared" si="11"/>
        <v>13.415446801341943</v>
      </c>
      <c r="S40" s="43">
        <f t="shared" si="12"/>
        <v>13.415408258273391</v>
      </c>
    </row>
    <row r="41" spans="1:19" x14ac:dyDescent="0.2">
      <c r="A41">
        <v>37</v>
      </c>
      <c r="B41">
        <v>56</v>
      </c>
      <c r="C41">
        <f t="shared" si="2"/>
        <v>0.16443563297285896</v>
      </c>
      <c r="D41">
        <f t="shared" si="3"/>
        <v>2.7039077391184781E-2</v>
      </c>
      <c r="E41">
        <v>9.75E-3</v>
      </c>
      <c r="F41">
        <f t="shared" si="0"/>
        <v>0.99024999999999996</v>
      </c>
      <c r="G41" s="34">
        <f t="shared" si="14"/>
        <v>0.88169927814311322</v>
      </c>
      <c r="H41" s="72">
        <f t="shared" si="5"/>
        <v>0.14498277889317565</v>
      </c>
      <c r="I41" s="72">
        <v>373.61523050001352</v>
      </c>
      <c r="J41" s="73">
        <f t="shared" si="6"/>
        <v>17.54685170756996</v>
      </c>
      <c r="K41" s="73">
        <f t="shared" si="7"/>
        <v>307.89200484745083</v>
      </c>
      <c r="L41" s="34">
        <f t="shared" si="10"/>
        <v>8.6812097570263605E-3</v>
      </c>
      <c r="M41" s="34">
        <f t="shared" si="8"/>
        <v>0.15232790024885098</v>
      </c>
      <c r="N41" s="34">
        <f t="shared" si="9"/>
        <v>2.6728750765920979</v>
      </c>
      <c r="O41" s="34"/>
      <c r="P41">
        <v>56</v>
      </c>
      <c r="Q41" s="38">
        <f t="shared" si="13"/>
        <v>13.154080159499717</v>
      </c>
      <c r="R41" s="22">
        <f t="shared" si="11"/>
        <v>13.154079695480545</v>
      </c>
      <c r="S41" s="43">
        <f t="shared" si="12"/>
        <v>13.15403885936699</v>
      </c>
    </row>
    <row r="42" spans="1:19" x14ac:dyDescent="0.2">
      <c r="A42">
        <v>38</v>
      </c>
      <c r="B42">
        <v>57</v>
      </c>
      <c r="C42">
        <f t="shared" si="2"/>
        <v>0.15660536473605616</v>
      </c>
      <c r="D42">
        <f t="shared" si="3"/>
        <v>2.4525240264113183E-2</v>
      </c>
      <c r="E42">
        <v>1.0619999999999999E-2</v>
      </c>
      <c r="F42">
        <f t="shared" si="0"/>
        <v>0.98938000000000004</v>
      </c>
      <c r="G42" s="34">
        <f t="shared" si="14"/>
        <v>0.87233563180923335</v>
      </c>
      <c r="H42" s="72">
        <f t="shared" si="5"/>
        <v>0.13661243979174298</v>
      </c>
      <c r="I42" s="72">
        <v>386.3125392830238</v>
      </c>
      <c r="J42" s="73">
        <f t="shared" si="6"/>
        <v>17.711287340542818</v>
      </c>
      <c r="K42" s="73">
        <f t="shared" si="7"/>
        <v>313.68969925927229</v>
      </c>
      <c r="L42" s="34">
        <f t="shared" si="10"/>
        <v>9.363646333879861E-3</v>
      </c>
      <c r="M42" s="34">
        <f t="shared" si="8"/>
        <v>0.16584223077456656</v>
      </c>
      <c r="N42" s="34">
        <f t="shared" si="9"/>
        <v>2.9372794024449611</v>
      </c>
      <c r="O42" s="34"/>
      <c r="P42">
        <v>57</v>
      </c>
      <c r="Q42" s="38">
        <f t="shared" si="13"/>
        <v>12.887436675056501</v>
      </c>
      <c r="R42" s="22">
        <f t="shared" si="11"/>
        <v>12.887436183039206</v>
      </c>
      <c r="S42" s="43">
        <f t="shared" si="12"/>
        <v>12.887392882944045</v>
      </c>
    </row>
    <row r="43" spans="1:19" x14ac:dyDescent="0.2">
      <c r="A43">
        <v>39</v>
      </c>
      <c r="B43">
        <v>58</v>
      </c>
      <c r="C43">
        <f t="shared" si="2"/>
        <v>0.14914796641529154</v>
      </c>
      <c r="D43">
        <f t="shared" si="3"/>
        <v>2.2245115885816933E-2</v>
      </c>
      <c r="E43">
        <v>1.158E-2</v>
      </c>
      <c r="F43">
        <f t="shared" si="0"/>
        <v>0.98841999999999997</v>
      </c>
      <c r="G43" s="34">
        <f t="shared" si="14"/>
        <v>0.86223398519288241</v>
      </c>
      <c r="H43" s="72">
        <f t="shared" si="5"/>
        <v>0.12860044546567101</v>
      </c>
      <c r="I43" s="72">
        <v>399.24818193937114</v>
      </c>
      <c r="J43" s="73">
        <f t="shared" si="6"/>
        <v>17.867892705278873</v>
      </c>
      <c r="K43" s="73">
        <f t="shared" si="7"/>
        <v>319.26158972735794</v>
      </c>
      <c r="L43" s="34">
        <f t="shared" si="10"/>
        <v>1.0101646616350922E-2</v>
      </c>
      <c r="M43" s="34">
        <f t="shared" si="8"/>
        <v>0.18049513788760166</v>
      </c>
      <c r="N43" s="34">
        <f t="shared" si="9"/>
        <v>3.2250677576001818</v>
      </c>
      <c r="O43" s="34"/>
      <c r="P43">
        <v>58</v>
      </c>
      <c r="Q43" s="38">
        <f t="shared" si="13"/>
        <v>12.615788179273206</v>
      </c>
      <c r="R43" s="22">
        <f t="shared" si="11"/>
        <v>12.615787657109671</v>
      </c>
      <c r="S43" s="43">
        <f t="shared" si="12"/>
        <v>12.615741703987595</v>
      </c>
    </row>
    <row r="44" spans="1:19" x14ac:dyDescent="0.2">
      <c r="A44">
        <v>40</v>
      </c>
      <c r="B44">
        <v>59</v>
      </c>
      <c r="C44">
        <f t="shared" si="2"/>
        <v>0.14204568230027767</v>
      </c>
      <c r="D44">
        <f t="shared" si="3"/>
        <v>2.0176975860151419E-2</v>
      </c>
      <c r="E44">
        <v>1.2619999999999999E-2</v>
      </c>
      <c r="F44">
        <f t="shared" si="0"/>
        <v>0.98738000000000004</v>
      </c>
      <c r="G44" s="34">
        <f t="shared" si="14"/>
        <v>0.85135259229974825</v>
      </c>
      <c r="H44" s="72">
        <f t="shared" si="5"/>
        <v>0.12093095985132786</v>
      </c>
      <c r="I44" s="72">
        <v>412.40625547473718</v>
      </c>
      <c r="J44" s="73">
        <f t="shared" si="6"/>
        <v>18.017040671694165</v>
      </c>
      <c r="K44" s="73">
        <f t="shared" si="7"/>
        <v>324.61375456548171</v>
      </c>
      <c r="L44" s="34">
        <f t="shared" si="10"/>
        <v>1.0881392893134176E-2</v>
      </c>
      <c r="M44" s="34">
        <f t="shared" si="8"/>
        <v>0.19605049832028229</v>
      </c>
      <c r="N44" s="34">
        <f t="shared" si="9"/>
        <v>3.5322498019424344</v>
      </c>
      <c r="O44" s="34"/>
      <c r="P44">
        <v>59</v>
      </c>
      <c r="Q44" s="38">
        <f t="shared" si="13"/>
        <v>12.339468635030519</v>
      </c>
      <c r="R44" s="22">
        <f t="shared" si="11"/>
        <v>12.33946808033544</v>
      </c>
      <c r="S44" s="43">
        <f t="shared" si="12"/>
        <v>12.339419264267191</v>
      </c>
    </row>
    <row r="45" spans="1:19" x14ac:dyDescent="0.2">
      <c r="A45">
        <v>41</v>
      </c>
      <c r="B45">
        <v>60</v>
      </c>
      <c r="C45">
        <f t="shared" si="2"/>
        <v>0.13528160219074065</v>
      </c>
      <c r="D45">
        <f t="shared" si="3"/>
        <v>1.8301111891293805E-2</v>
      </c>
      <c r="E45">
        <v>1.376E-2</v>
      </c>
      <c r="F45">
        <f t="shared" si="0"/>
        <v>0.98624000000000001</v>
      </c>
      <c r="G45" s="34">
        <f t="shared" si="14"/>
        <v>0.83963798062970374</v>
      </c>
      <c r="H45" s="72">
        <f t="shared" si="5"/>
        <v>0.11358757127978439</v>
      </c>
      <c r="I45" s="72">
        <v>425.77991072178298</v>
      </c>
      <c r="J45" s="73">
        <f t="shared" si="6"/>
        <v>18.159086353994446</v>
      </c>
      <c r="K45" s="73">
        <f t="shared" si="7"/>
        <v>329.75241721182732</v>
      </c>
      <c r="L45" s="34">
        <f t="shared" si="10"/>
        <v>1.1714611670044535E-2</v>
      </c>
      <c r="M45" s="34">
        <f t="shared" si="8"/>
        <v>0.2127266449198498</v>
      </c>
      <c r="N45" s="34">
        <f t="shared" si="9"/>
        <v>3.8629215148950666</v>
      </c>
      <c r="O45" s="34"/>
      <c r="P45">
        <v>60</v>
      </c>
      <c r="Q45" s="38">
        <f t="shared" si="13"/>
        <v>12.058621874842558</v>
      </c>
      <c r="R45" s="22">
        <f t="shared" si="11"/>
        <v>12.058621284968515</v>
      </c>
      <c r="S45" s="43">
        <f t="shared" si="12"/>
        <v>12.0585693729674</v>
      </c>
    </row>
    <row r="46" spans="1:19" x14ac:dyDescent="0.2">
      <c r="A46">
        <v>42</v>
      </c>
      <c r="B46">
        <v>61</v>
      </c>
      <c r="C46">
        <f t="shared" si="2"/>
        <v>0.12883962113403868</v>
      </c>
      <c r="D46">
        <f t="shared" si="3"/>
        <v>1.6599647973962628E-2</v>
      </c>
      <c r="E46">
        <v>1.5009999999999999E-2</v>
      </c>
      <c r="F46">
        <f t="shared" si="0"/>
        <v>0.98499000000000003</v>
      </c>
      <c r="G46" s="34">
        <f t="shared" si="14"/>
        <v>0.82703501454045192</v>
      </c>
      <c r="H46" s="72">
        <f t="shared" si="5"/>
        <v>0.10655487793797599</v>
      </c>
      <c r="I46" s="72">
        <v>439.35442312000345</v>
      </c>
      <c r="J46" s="73">
        <f t="shared" si="6"/>
        <v>18.294367956185184</v>
      </c>
      <c r="K46" s="73">
        <f t="shared" si="7"/>
        <v>334.68389891629528</v>
      </c>
      <c r="L46" s="34">
        <f t="shared" si="10"/>
        <v>1.2602966089251853E-2</v>
      </c>
      <c r="M46" s="34">
        <f t="shared" si="8"/>
        <v>0.23056329897609759</v>
      </c>
      <c r="N46" s="34">
        <f t="shared" si="9"/>
        <v>4.218009828660664</v>
      </c>
      <c r="O46" s="34"/>
      <c r="P46">
        <v>61</v>
      </c>
      <c r="Q46" s="38">
        <f t="shared" si="13"/>
        <v>11.773557114479926</v>
      </c>
      <c r="R46" s="22">
        <f t="shared" si="11"/>
        <v>11.773556486470779</v>
      </c>
      <c r="S46" s="43">
        <f t="shared" si="12"/>
        <v>11.773501218380689</v>
      </c>
    </row>
    <row r="47" spans="1:19" x14ac:dyDescent="0.2">
      <c r="A47">
        <v>43</v>
      </c>
      <c r="B47">
        <v>62</v>
      </c>
      <c r="C47">
        <f t="shared" si="2"/>
        <v>0.12270440108003686</v>
      </c>
      <c r="D47">
        <f t="shared" si="3"/>
        <v>1.5056370044410549E-2</v>
      </c>
      <c r="E47">
        <v>1.6379999999999999E-2</v>
      </c>
      <c r="F47">
        <f t="shared" si="0"/>
        <v>0.98362000000000005</v>
      </c>
      <c r="G47" s="34">
        <f t="shared" si="14"/>
        <v>0.81348818100227938</v>
      </c>
      <c r="H47" s="72">
        <f t="shared" si="5"/>
        <v>9.9818580035573312E-2</v>
      </c>
      <c r="I47" s="72">
        <v>453.11337605052194</v>
      </c>
      <c r="J47" s="73">
        <f t="shared" si="6"/>
        <v>18.423207577319225</v>
      </c>
      <c r="K47" s="73">
        <f t="shared" si="7"/>
        <v>339.41457743699249</v>
      </c>
      <c r="L47" s="34">
        <f t="shared" si="10"/>
        <v>1.3546833538172601E-2</v>
      </c>
      <c r="M47" s="34">
        <f t="shared" si="8"/>
        <v>0.24957612628914369</v>
      </c>
      <c r="N47" s="34">
        <f t="shared" si="9"/>
        <v>4.5979927809681316</v>
      </c>
      <c r="O47" s="34"/>
      <c r="P47">
        <v>62</v>
      </c>
      <c r="Q47" s="38">
        <f t="shared" si="13"/>
        <v>11.484619102939041</v>
      </c>
      <c r="R47" s="22">
        <f t="shared" si="11"/>
        <v>11.484618433480867</v>
      </c>
      <c r="S47" s="43">
        <f t="shared" si="12"/>
        <v>11.484559517659797</v>
      </c>
    </row>
    <row r="48" spans="1:19" x14ac:dyDescent="0.2">
      <c r="A48">
        <v>44</v>
      </c>
      <c r="B48">
        <v>63</v>
      </c>
      <c r="C48">
        <f t="shared" si="2"/>
        <v>0.11686133436193985</v>
      </c>
      <c r="D48">
        <f t="shared" si="3"/>
        <v>1.3656571468853103E-2</v>
      </c>
      <c r="E48">
        <v>1.788E-2</v>
      </c>
      <c r="F48">
        <f t="shared" si="0"/>
        <v>0.98211999999999999</v>
      </c>
      <c r="G48" s="34">
        <f t="shared" si="14"/>
        <v>0.79894301232595866</v>
      </c>
      <c r="H48" s="72">
        <f t="shared" si="5"/>
        <v>9.336554649955929E-2</v>
      </c>
      <c r="I48" s="72">
        <v>467.03914606560261</v>
      </c>
      <c r="J48" s="73">
        <f t="shared" si="6"/>
        <v>18.545911978399261</v>
      </c>
      <c r="K48" s="73">
        <f t="shared" si="7"/>
        <v>343.95085111053316</v>
      </c>
      <c r="L48" s="34">
        <f t="shared" si="10"/>
        <v>1.4545168676320755E-2</v>
      </c>
      <c r="M48" s="34">
        <f t="shared" si="8"/>
        <v>0.2697534179820148</v>
      </c>
      <c r="N48" s="34">
        <f t="shared" si="9"/>
        <v>5.0028231457667909</v>
      </c>
      <c r="O48" s="34"/>
      <c r="P48">
        <v>63</v>
      </c>
      <c r="Q48" s="38">
        <f t="shared" si="13"/>
        <v>11.192177932622347</v>
      </c>
      <c r="R48" s="22">
        <f t="shared" si="11"/>
        <v>11.192177217985513</v>
      </c>
      <c r="S48" s="43">
        <f t="shared" si="12"/>
        <v>11.192114326206042</v>
      </c>
    </row>
    <row r="49" spans="1:19" x14ac:dyDescent="0.2">
      <c r="A49">
        <v>45</v>
      </c>
      <c r="B49">
        <v>64</v>
      </c>
      <c r="C49">
        <f t="shared" si="2"/>
        <v>0.11129650891613319</v>
      </c>
      <c r="D49">
        <f t="shared" si="3"/>
        <v>1.2386912896918914E-2</v>
      </c>
      <c r="E49">
        <v>1.9519999999999999E-2</v>
      </c>
      <c r="F49">
        <f t="shared" si="0"/>
        <v>0.98048000000000002</v>
      </c>
      <c r="G49" s="34">
        <f t="shared" si="14"/>
        <v>0.78334764472535601</v>
      </c>
      <c r="H49" s="72">
        <f t="shared" si="5"/>
        <v>8.7183858125607513E-2</v>
      </c>
      <c r="I49" s="72">
        <v>481.11341116043121</v>
      </c>
      <c r="J49" s="73">
        <f t="shared" si="6"/>
        <v>18.662773312761203</v>
      </c>
      <c r="K49" s="73">
        <f t="shared" si="7"/>
        <v>348.29910772351178</v>
      </c>
      <c r="L49" s="34">
        <f t="shared" si="10"/>
        <v>1.5595367600602712E-2</v>
      </c>
      <c r="M49" s="34">
        <f t="shared" si="8"/>
        <v>0.29105281025922902</v>
      </c>
      <c r="N49" s="34">
        <f t="shared" si="9"/>
        <v>5.4318526199100896</v>
      </c>
      <c r="O49" s="34"/>
      <c r="P49">
        <v>64</v>
      </c>
      <c r="Q49" s="38">
        <f t="shared" si="13"/>
        <v>10.896618365630946</v>
      </c>
      <c r="R49" s="22">
        <f t="shared" si="11"/>
        <v>10.896617601601422</v>
      </c>
      <c r="S49" s="43">
        <f t="shared" si="12"/>
        <v>10.896550363006908</v>
      </c>
    </row>
    <row r="50" spans="1:19" x14ac:dyDescent="0.2">
      <c r="A50">
        <v>46</v>
      </c>
      <c r="B50">
        <v>65</v>
      </c>
      <c r="C50">
        <f t="shared" si="2"/>
        <v>0.10599667515822207</v>
      </c>
      <c r="D50">
        <f t="shared" si="3"/>
        <v>1.1235295144597653E-2</v>
      </c>
      <c r="E50">
        <v>2.0920000000000001E-2</v>
      </c>
      <c r="F50">
        <f t="shared" si="0"/>
        <v>0.97907999999999995</v>
      </c>
      <c r="G50" s="34">
        <f t="shared" si="14"/>
        <v>0.76696001199770147</v>
      </c>
      <c r="H50" s="72">
        <f t="shared" si="5"/>
        <v>8.1295211251066465E-2</v>
      </c>
      <c r="I50" s="72">
        <v>495.317682888435</v>
      </c>
      <c r="J50" s="73">
        <f t="shared" si="6"/>
        <v>18.774069821677333</v>
      </c>
      <c r="K50" s="73">
        <f t="shared" si="7"/>
        <v>352.46569766921556</v>
      </c>
      <c r="L50" s="34">
        <f t="shared" si="10"/>
        <v>1.638763272765445E-2</v>
      </c>
      <c r="M50" s="34">
        <f t="shared" si="8"/>
        <v>0.30766256104098921</v>
      </c>
      <c r="N50" s="34">
        <f t="shared" si="9"/>
        <v>5.7760784024995955</v>
      </c>
      <c r="O50" s="34"/>
      <c r="P50">
        <v>65</v>
      </c>
      <c r="Q50" s="38">
        <f t="shared" si="13"/>
        <v>10.598328659342865</v>
      </c>
      <c r="R50" s="22">
        <f t="shared" si="11"/>
        <v>10.598327841140557</v>
      </c>
      <c r="S50" s="43">
        <f t="shared" si="12"/>
        <v>10.598255835057577</v>
      </c>
    </row>
    <row r="51" spans="1:19" x14ac:dyDescent="0.2">
      <c r="A51">
        <v>47</v>
      </c>
      <c r="B51">
        <v>66</v>
      </c>
      <c r="C51">
        <f t="shared" si="2"/>
        <v>0.10094921443640198</v>
      </c>
      <c r="D51">
        <f t="shared" si="3"/>
        <v>1.0190743895326669E-2</v>
      </c>
      <c r="E51">
        <v>2.368E-2</v>
      </c>
      <c r="F51">
        <f t="shared" si="0"/>
        <v>0.97631999999999997</v>
      </c>
      <c r="G51" s="34">
        <f t="shared" si="14"/>
        <v>0.7487983989135959</v>
      </c>
      <c r="H51" s="72">
        <f t="shared" si="5"/>
        <v>7.5590610141563069E-2</v>
      </c>
      <c r="I51" s="72">
        <v>509.829193766451</v>
      </c>
      <c r="J51" s="73">
        <f t="shared" si="6"/>
        <v>18.880066496835557</v>
      </c>
      <c r="K51" s="73">
        <f t="shared" si="7"/>
        <v>356.45691092493246</v>
      </c>
      <c r="L51" s="34">
        <f t="shared" si="10"/>
        <v>1.816161308410557E-2</v>
      </c>
      <c r="M51" s="34">
        <f t="shared" si="8"/>
        <v>0.34289246271771184</v>
      </c>
      <c r="N51" s="34">
        <f t="shared" si="9"/>
        <v>6.473832497374107</v>
      </c>
      <c r="O51" s="34"/>
      <c r="P51">
        <v>66</v>
      </c>
      <c r="Q51" s="38">
        <f t="shared" si="13"/>
        <v>10.29358693090453</v>
      </c>
      <c r="R51" s="22">
        <f t="shared" si="11"/>
        <v>10.293586053435456</v>
      </c>
      <c r="S51" s="43">
        <f t="shared" si="12"/>
        <v>10.293508831566834</v>
      </c>
    </row>
    <row r="52" spans="1:19" x14ac:dyDescent="0.2">
      <c r="A52">
        <v>48</v>
      </c>
      <c r="B52">
        <v>67</v>
      </c>
      <c r="C52">
        <f t="shared" si="2"/>
        <v>9.6142108987049502E-2</v>
      </c>
      <c r="D52">
        <f t="shared" si="3"/>
        <v>9.2433051204777045E-3</v>
      </c>
      <c r="E52">
        <v>2.5440000000000001E-2</v>
      </c>
      <c r="F52">
        <f t="shared" si="0"/>
        <v>0.97455999999999998</v>
      </c>
      <c r="G52" s="34">
        <f t="shared" si="14"/>
        <v>0.729748967645234</v>
      </c>
      <c r="H52" s="72">
        <f t="shared" si="5"/>
        <v>7.0159604780534943E-2</v>
      </c>
      <c r="I52" s="72">
        <v>524.05016127373563</v>
      </c>
      <c r="J52" s="73">
        <f t="shared" si="6"/>
        <v>18.981015711271958</v>
      </c>
      <c r="K52" s="73">
        <f t="shared" si="7"/>
        <v>360.2789574315529</v>
      </c>
      <c r="L52" s="34">
        <f t="shared" si="10"/>
        <v>1.904943126836188E-2</v>
      </c>
      <c r="M52" s="34">
        <f t="shared" si="8"/>
        <v>0.36157755419557214</v>
      </c>
      <c r="N52" s="34">
        <f t="shared" si="9"/>
        <v>6.8631092370294429</v>
      </c>
      <c r="O52" s="34"/>
      <c r="P52">
        <v>67</v>
      </c>
      <c r="Q52" s="38">
        <f t="shared" si="13"/>
        <v>9.9949466132515532</v>
      </c>
      <c r="R52" s="22">
        <f t="shared" si="11"/>
        <v>9.994945669562469</v>
      </c>
      <c r="S52" s="43">
        <f t="shared" si="12"/>
        <v>9.9948626199864563</v>
      </c>
    </row>
    <row r="53" spans="1:19" x14ac:dyDescent="0.2">
      <c r="A53">
        <v>49</v>
      </c>
      <c r="B53">
        <v>68</v>
      </c>
      <c r="C53">
        <f t="shared" si="2"/>
        <v>9.1563913320999515E-2</v>
      </c>
      <c r="D53">
        <f t="shared" si="3"/>
        <v>8.3839502226555132E-3</v>
      </c>
      <c r="E53">
        <v>2.7789999999999999E-2</v>
      </c>
      <c r="F53">
        <f t="shared" si="0"/>
        <v>0.97221000000000002</v>
      </c>
      <c r="G53" s="34">
        <f t="shared" si="14"/>
        <v>0.70946924383437293</v>
      </c>
      <c r="H53" s="72">
        <f t="shared" si="5"/>
        <v>6.49617803463656E-2</v>
      </c>
      <c r="I53" s="72">
        <v>538.51242544063211</v>
      </c>
      <c r="J53" s="73">
        <f t="shared" si="6"/>
        <v>19.077157820259007</v>
      </c>
      <c r="K53" s="73">
        <f t="shared" si="7"/>
        <v>363.93795049906942</v>
      </c>
      <c r="L53" s="34">
        <f t="shared" si="10"/>
        <v>2.0279723810861051E-2</v>
      </c>
      <c r="M53" s="34">
        <f t="shared" si="8"/>
        <v>0.38687949169106067</v>
      </c>
      <c r="N53" s="34">
        <f t="shared" si="9"/>
        <v>7.380561120411949</v>
      </c>
      <c r="O53" s="34"/>
      <c r="P53">
        <v>68</v>
      </c>
      <c r="Q53" s="38">
        <f t="shared" si="13"/>
        <v>9.6912390657467249</v>
      </c>
      <c r="R53" s="22">
        <f t="shared" si="11"/>
        <v>9.6912380490073406</v>
      </c>
      <c r="S53" s="43">
        <f t="shared" si="12"/>
        <v>9.6911485706224152</v>
      </c>
    </row>
    <row r="54" spans="1:19" x14ac:dyDescent="0.2">
      <c r="A54">
        <v>50</v>
      </c>
      <c r="B54">
        <v>69</v>
      </c>
      <c r="C54">
        <f t="shared" si="2"/>
        <v>8.7203726972380491E-2</v>
      </c>
      <c r="D54">
        <f t="shared" si="3"/>
        <v>7.6044899978734808E-3</v>
      </c>
      <c r="E54">
        <v>3.0370000000000001E-2</v>
      </c>
      <c r="F54">
        <f t="shared" si="0"/>
        <v>0.96962999999999999</v>
      </c>
      <c r="G54" s="34">
        <f t="shared" si="14"/>
        <v>0.68792266289912307</v>
      </c>
      <c r="H54" s="72">
        <f t="shared" si="5"/>
        <v>5.998942007356807E-2</v>
      </c>
      <c r="I54" s="72">
        <v>553.01637168169816</v>
      </c>
      <c r="J54" s="73">
        <f t="shared" si="6"/>
        <v>19.168721733580007</v>
      </c>
      <c r="K54" s="73">
        <f t="shared" si="7"/>
        <v>367.43989289942249</v>
      </c>
      <c r="L54" s="34">
        <f t="shared" si="10"/>
        <v>2.1546580935249908E-2</v>
      </c>
      <c r="M54" s="34">
        <f t="shared" si="8"/>
        <v>0.41302041425786556</v>
      </c>
      <c r="N54" s="34">
        <f t="shared" si="9"/>
        <v>7.9170733911969648</v>
      </c>
      <c r="O54" s="34"/>
      <c r="P54">
        <v>69</v>
      </c>
      <c r="Q54" s="38">
        <f t="shared" si="13"/>
        <v>9.3866561946843401</v>
      </c>
      <c r="R54" s="22">
        <f t="shared" si="11"/>
        <v>9.3866550965919995</v>
      </c>
      <c r="S54" s="43">
        <f t="shared" si="12"/>
        <v>9.3865584587214048</v>
      </c>
    </row>
    <row r="55" spans="1:19" x14ac:dyDescent="0.2">
      <c r="A55">
        <v>51</v>
      </c>
      <c r="B55">
        <v>70</v>
      </c>
      <c r="C55">
        <f t="shared" si="2"/>
        <v>8.3051168545124274E-2</v>
      </c>
      <c r="D55">
        <f t="shared" si="3"/>
        <v>6.8974965967106396E-3</v>
      </c>
      <c r="E55">
        <v>3.3180000000000001E-2</v>
      </c>
      <c r="F55">
        <f t="shared" si="0"/>
        <v>0.96682000000000001</v>
      </c>
      <c r="G55" s="34">
        <f t="shared" si="14"/>
        <v>0.66509738894413017</v>
      </c>
      <c r="H55" s="72">
        <f t="shared" si="5"/>
        <v>5.5237115348121028E-2</v>
      </c>
      <c r="I55" s="72">
        <v>567.53317272132983</v>
      </c>
      <c r="J55" s="73">
        <f t="shared" si="6"/>
        <v>19.25592546055239</v>
      </c>
      <c r="K55" s="73">
        <f t="shared" si="7"/>
        <v>370.79066534234977</v>
      </c>
      <c r="L55" s="34">
        <f t="shared" si="10"/>
        <v>2.2825273954992904E-2</v>
      </c>
      <c r="M55" s="34">
        <f t="shared" si="8"/>
        <v>0.43952177389403124</v>
      </c>
      <c r="N55" s="34">
        <f t="shared" si="9"/>
        <v>8.4633985163932266</v>
      </c>
      <c r="O55" s="34"/>
      <c r="P55">
        <v>70</v>
      </c>
      <c r="Q55" s="38">
        <f t="shared" si="13"/>
        <v>9.0818033728520735</v>
      </c>
      <c r="R55" s="22">
        <f t="shared" si="11"/>
        <v>9.081802183741841</v>
      </c>
      <c r="S55" s="43">
        <f t="shared" si="12"/>
        <v>9.0816975358203393</v>
      </c>
    </row>
    <row r="56" spans="1:19" x14ac:dyDescent="0.2">
      <c r="A56">
        <v>52</v>
      </c>
      <c r="B56">
        <v>71</v>
      </c>
      <c r="C56">
        <f t="shared" si="2"/>
        <v>7.909635099535646E-2</v>
      </c>
      <c r="D56">
        <f t="shared" si="3"/>
        <v>6.2562327407806265E-3</v>
      </c>
      <c r="E56">
        <v>3.6260000000000001E-2</v>
      </c>
      <c r="F56">
        <f t="shared" si="0"/>
        <v>0.96374000000000004</v>
      </c>
      <c r="G56" s="34">
        <f t="shared" si="14"/>
        <v>0.64098095762101603</v>
      </c>
      <c r="H56" s="72">
        <f t="shared" si="5"/>
        <v>5.0699254805331585E-2</v>
      </c>
      <c r="I56" s="72">
        <v>582.0419843997812</v>
      </c>
      <c r="J56" s="73">
        <f t="shared" si="6"/>
        <v>19.338976629097512</v>
      </c>
      <c r="K56" s="73">
        <f t="shared" si="7"/>
        <v>373.99601706077976</v>
      </c>
      <c r="L56" s="34">
        <f t="shared" si="10"/>
        <v>2.4116431323114161E-2</v>
      </c>
      <c r="M56" s="34">
        <f t="shared" si="8"/>
        <v>0.46638710173493997</v>
      </c>
      <c r="N56" s="34">
        <f t="shared" si="9"/>
        <v>9.019449260564528</v>
      </c>
      <c r="O56" s="34"/>
      <c r="P56">
        <v>71</v>
      </c>
      <c r="Q56" s="38">
        <f t="shared" si="13"/>
        <v>8.7771183276045956</v>
      </c>
      <c r="R56" s="22">
        <f t="shared" si="11"/>
        <v>8.7771170361897077</v>
      </c>
      <c r="S56" s="43">
        <f t="shared" si="12"/>
        <v>8.7770033849231055</v>
      </c>
    </row>
    <row r="57" spans="1:19" x14ac:dyDescent="0.2">
      <c r="A57">
        <v>53</v>
      </c>
      <c r="B57">
        <v>72</v>
      </c>
      <c r="C57">
        <f t="shared" si="2"/>
        <v>7.532985809081566E-2</v>
      </c>
      <c r="D57">
        <f t="shared" si="3"/>
        <v>5.6745875199824252E-3</v>
      </c>
      <c r="E57">
        <v>3.9619999999999995E-2</v>
      </c>
      <c r="F57">
        <f t="shared" si="0"/>
        <v>0.96038000000000001</v>
      </c>
      <c r="G57" s="34">
        <f t="shared" si="14"/>
        <v>0.6155852920800714</v>
      </c>
      <c r="H57" s="72">
        <f t="shared" si="5"/>
        <v>4.6371952695185091E-2</v>
      </c>
      <c r="I57" s="72">
        <v>596.5136692674065</v>
      </c>
      <c r="J57" s="73">
        <f t="shared" si="6"/>
        <v>19.418072980092873</v>
      </c>
      <c r="K57" s="73">
        <f t="shared" si="7"/>
        <v>377.06155826021291</v>
      </c>
      <c r="L57" s="34">
        <f t="shared" si="10"/>
        <v>2.5395665540944651E-2</v>
      </c>
      <c r="M57" s="34">
        <f t="shared" si="8"/>
        <v>0.493134886852093</v>
      </c>
      <c r="N57" s="34">
        <f t="shared" si="9"/>
        <v>9.5757292219237833</v>
      </c>
      <c r="O57" s="34"/>
      <c r="P57">
        <v>72</v>
      </c>
      <c r="Q57" s="38">
        <f t="shared" si="13"/>
        <v>8.4732129453844642</v>
      </c>
      <c r="R57" s="22">
        <f t="shared" si="11"/>
        <v>8.4732115383808839</v>
      </c>
      <c r="S57" s="43">
        <f t="shared" si="12"/>
        <v>8.4730877147044446</v>
      </c>
    </row>
    <row r="58" spans="1:19" x14ac:dyDescent="0.2">
      <c r="A58">
        <v>54</v>
      </c>
      <c r="B58">
        <v>73</v>
      </c>
      <c r="C58">
        <f t="shared" si="2"/>
        <v>7.1742721991253006E-2</v>
      </c>
      <c r="D58">
        <f t="shared" si="3"/>
        <v>5.1470181587142177E-3</v>
      </c>
      <c r="E58">
        <v>4.3299999999999998E-2</v>
      </c>
      <c r="F58">
        <f t="shared" si="0"/>
        <v>0.95669999999999999</v>
      </c>
      <c r="G58" s="34">
        <f t="shared" si="14"/>
        <v>0.58893044893300428</v>
      </c>
      <c r="H58" s="72">
        <f t="shared" si="5"/>
        <v>4.2251473469984355E-2</v>
      </c>
      <c r="I58" s="72">
        <v>610.92416827794921</v>
      </c>
      <c r="J58" s="73">
        <f t="shared" si="6"/>
        <v>19.493402838183684</v>
      </c>
      <c r="K58" s="73">
        <f t="shared" si="7"/>
        <v>379.99275421170768</v>
      </c>
      <c r="L58" s="34">
        <f t="shared" si="10"/>
        <v>2.6654843147067092E-2</v>
      </c>
      <c r="M58" s="34">
        <f t="shared" si="8"/>
        <v>0.51959359505437852</v>
      </c>
      <c r="N58" s="34">
        <f t="shared" si="9"/>
        <v>10.128647260535086</v>
      </c>
      <c r="O58" s="34"/>
      <c r="P58">
        <v>73</v>
      </c>
      <c r="Q58" s="38">
        <f t="shared" si="13"/>
        <v>8.1705924661630682</v>
      </c>
      <c r="R58" s="22">
        <f t="shared" si="11"/>
        <v>8.170590927861813</v>
      </c>
      <c r="S58" s="43">
        <f t="shared" si="12"/>
        <v>8.1704555493030533</v>
      </c>
    </row>
    <row r="59" spans="1:19" x14ac:dyDescent="0.2">
      <c r="A59">
        <v>55</v>
      </c>
      <c r="B59">
        <v>74</v>
      </c>
      <c r="C59">
        <f t="shared" si="2"/>
        <v>6.8326401896431424E-2</v>
      </c>
      <c r="D59">
        <f t="shared" si="3"/>
        <v>4.6684971961126675E-3</v>
      </c>
      <c r="E59">
        <v>4.7310000000000005E-2</v>
      </c>
      <c r="F59">
        <f t="shared" si="0"/>
        <v>0.95269000000000004</v>
      </c>
      <c r="G59" s="34">
        <f t="shared" si="14"/>
        <v>0.56106814939398386</v>
      </c>
      <c r="H59" s="72">
        <f t="shared" si="5"/>
        <v>3.8335767866780369E-2</v>
      </c>
      <c r="I59" s="72">
        <v>625.2434166320129</v>
      </c>
      <c r="J59" s="73">
        <f t="shared" si="6"/>
        <v>19.565145560174937</v>
      </c>
      <c r="K59" s="73">
        <f t="shared" si="7"/>
        <v>382.79492079083303</v>
      </c>
      <c r="L59" s="34">
        <f t="shared" si="10"/>
        <v>2.7862299539020436E-2</v>
      </c>
      <c r="M59" s="34">
        <f t="shared" si="8"/>
        <v>0.54512994612212984</v>
      </c>
      <c r="N59" s="34">
        <f t="shared" si="9"/>
        <v>10.665546745089792</v>
      </c>
      <c r="O59" s="34"/>
      <c r="P59">
        <v>74</v>
      </c>
      <c r="Q59" s="38">
        <f t="shared" si="13"/>
        <v>7.8698882507277297</v>
      </c>
      <c r="R59" s="22">
        <f t="shared" si="11"/>
        <v>7.8698865624071335</v>
      </c>
      <c r="S59" s="43">
        <f t="shared" si="12"/>
        <v>7.8697379813611441</v>
      </c>
    </row>
    <row r="60" spans="1:19" x14ac:dyDescent="0.2">
      <c r="A60">
        <v>56</v>
      </c>
      <c r="B60">
        <v>75</v>
      </c>
      <c r="C60">
        <f t="shared" si="2"/>
        <v>6.5072763710887077E-2</v>
      </c>
      <c r="D60">
        <f t="shared" si="3"/>
        <v>4.2344645769729419E-3</v>
      </c>
      <c r="E60">
        <v>5.169E-2</v>
      </c>
      <c r="F60">
        <f t="shared" si="0"/>
        <v>0.94830999999999999</v>
      </c>
      <c r="G60" s="34">
        <f t="shared" si="14"/>
        <v>0.53206653675180882</v>
      </c>
      <c r="H60" s="72">
        <f t="shared" si="5"/>
        <v>3.462304002452047E-2</v>
      </c>
      <c r="I60" s="72">
        <v>639.44786600427574</v>
      </c>
      <c r="J60" s="73">
        <f t="shared" si="6"/>
        <v>19.633471962071368</v>
      </c>
      <c r="K60" s="73">
        <f t="shared" si="7"/>
        <v>385.47322128544255</v>
      </c>
      <c r="L60" s="34">
        <f t="shared" si="10"/>
        <v>2.9001612642175024E-2</v>
      </c>
      <c r="M60" s="34">
        <f t="shared" si="8"/>
        <v>0.56940234866499784</v>
      </c>
      <c r="N60" s="34">
        <f t="shared" si="9"/>
        <v>11.179345047651822</v>
      </c>
      <c r="O60" s="34"/>
      <c r="P60">
        <v>75</v>
      </c>
      <c r="Q60" s="38">
        <f t="shared" si="13"/>
        <v>7.5715948139102105</v>
      </c>
      <c r="R60" s="22">
        <f t="shared" si="11"/>
        <v>7.5715929531405708</v>
      </c>
      <c r="S60" s="43">
        <f t="shared" si="12"/>
        <v>7.5714291956766644</v>
      </c>
    </row>
    <row r="61" spans="1:19" x14ac:dyDescent="0.2">
      <c r="A61">
        <v>57</v>
      </c>
      <c r="B61">
        <v>76</v>
      </c>
      <c r="C61">
        <f t="shared" si="2"/>
        <v>6.1974060677035314E-2</v>
      </c>
      <c r="D61">
        <f t="shared" si="3"/>
        <v>3.840784196800855E-3</v>
      </c>
      <c r="E61">
        <v>5.6469999999999999E-2</v>
      </c>
      <c r="F61">
        <f t="shared" si="0"/>
        <v>0.94352999999999998</v>
      </c>
      <c r="G61" s="34">
        <f t="shared" si="14"/>
        <v>0.50202073942143421</v>
      </c>
      <c r="H61" s="72">
        <f t="shared" si="5"/>
        <v>3.1112263766034098E-2</v>
      </c>
      <c r="I61" s="72">
        <v>653.51020162656687</v>
      </c>
      <c r="J61" s="73">
        <f t="shared" si="6"/>
        <v>19.698544725782256</v>
      </c>
      <c r="K61" s="73">
        <f t="shared" si="7"/>
        <v>388.03266431364392</v>
      </c>
      <c r="L61" s="34">
        <f t="shared" si="10"/>
        <v>3.0045797330374643E-2</v>
      </c>
      <c r="M61" s="34">
        <f t="shared" si="8"/>
        <v>0.59185848253417406</v>
      </c>
      <c r="N61" s="34">
        <f t="shared" si="9"/>
        <v>11.658750789533043</v>
      </c>
      <c r="O61" s="34"/>
      <c r="P61">
        <v>76</v>
      </c>
      <c r="Q61" s="38">
        <f t="shared" si="13"/>
        <v>7.2762857658420952</v>
      </c>
      <c r="R61" s="22">
        <f t="shared" si="11"/>
        <v>7.2762837055367964</v>
      </c>
      <c r="S61" s="43">
        <f t="shared" si="12"/>
        <v>7.2761023878905613</v>
      </c>
    </row>
    <row r="62" spans="1:19" x14ac:dyDescent="0.2">
      <c r="A62">
        <v>58</v>
      </c>
      <c r="B62">
        <v>77</v>
      </c>
      <c r="C62">
        <f t="shared" si="2"/>
        <v>5.9022914930509818E-2</v>
      </c>
      <c r="D62">
        <f t="shared" si="3"/>
        <v>3.4837044868941988E-3</v>
      </c>
      <c r="E62">
        <v>6.1679999999999999E-2</v>
      </c>
      <c r="F62">
        <f t="shared" si="0"/>
        <v>0.93832000000000004</v>
      </c>
      <c r="G62" s="34">
        <f t="shared" si="14"/>
        <v>0.47105610021392019</v>
      </c>
      <c r="H62" s="72">
        <f t="shared" si="5"/>
        <v>2.780310413042392E-2</v>
      </c>
      <c r="I62" s="72">
        <v>667.40401652082642</v>
      </c>
      <c r="J62" s="73">
        <f t="shared" si="6"/>
        <v>19.760518786459293</v>
      </c>
      <c r="K62" s="73">
        <f t="shared" si="7"/>
        <v>390.47810271001066</v>
      </c>
      <c r="L62" s="34">
        <f t="shared" si="10"/>
        <v>3.096463920751406E-2</v>
      </c>
      <c r="M62" s="34">
        <f t="shared" si="8"/>
        <v>0.61187733477601558</v>
      </c>
      <c r="N62" s="34">
        <f t="shared" si="9"/>
        <v>12.091013568850098</v>
      </c>
      <c r="O62" s="34"/>
      <c r="P62">
        <v>77</v>
      </c>
      <c r="Q62" s="38">
        <f t="shared" si="13"/>
        <v>6.9845156530626467</v>
      </c>
      <c r="R62" s="22">
        <f t="shared" si="11"/>
        <v>6.984513360267969</v>
      </c>
      <c r="S62" s="43">
        <f t="shared" si="12"/>
        <v>6.984311582339819</v>
      </c>
    </row>
    <row r="63" spans="1:19" x14ac:dyDescent="0.2">
      <c r="A63">
        <v>59</v>
      </c>
      <c r="B63">
        <v>78</v>
      </c>
      <c r="C63">
        <f t="shared" si="2"/>
        <v>5.621229993381887E-2</v>
      </c>
      <c r="D63">
        <f t="shared" si="3"/>
        <v>3.1598226638496129E-3</v>
      </c>
      <c r="E63">
        <v>6.7369999999999999E-2</v>
      </c>
      <c r="F63">
        <f t="shared" si="0"/>
        <v>0.93262999999999996</v>
      </c>
      <c r="G63" s="34">
        <f t="shared" si="14"/>
        <v>0.43932105074250838</v>
      </c>
      <c r="H63" s="72">
        <f t="shared" si="5"/>
        <v>2.4695246671578339E-2</v>
      </c>
      <c r="I63" s="72">
        <v>681.10475887423024</v>
      </c>
      <c r="J63" s="73">
        <f t="shared" si="6"/>
        <v>19.819541701389802</v>
      </c>
      <c r="K63" s="73">
        <f t="shared" si="7"/>
        <v>392.81423325312937</v>
      </c>
      <c r="L63" s="34">
        <f t="shared" si="10"/>
        <v>3.17350494714118E-2</v>
      </c>
      <c r="M63" s="34">
        <f t="shared" si="8"/>
        <v>0.62897413639431454</v>
      </c>
      <c r="N63" s="34">
        <f t="shared" si="9"/>
        <v>12.465979125362754</v>
      </c>
      <c r="O63" s="34"/>
      <c r="P63">
        <v>78</v>
      </c>
      <c r="Q63" s="38">
        <f t="shared" si="13"/>
        <v>6.6968000636411649</v>
      </c>
      <c r="R63" s="22">
        <f t="shared" si="11"/>
        <v>6.6967974979552469</v>
      </c>
      <c r="S63" s="43">
        <f t="shared" si="12"/>
        <v>6.696571704170017</v>
      </c>
    </row>
    <row r="64" spans="1:19" x14ac:dyDescent="0.2">
      <c r="A64">
        <v>60</v>
      </c>
      <c r="B64">
        <v>79</v>
      </c>
      <c r="C64">
        <f t="shared" si="2"/>
        <v>5.353552374649416E-2</v>
      </c>
      <c r="D64">
        <f t="shared" si="3"/>
        <v>2.86605230281144E-3</v>
      </c>
      <c r="E64">
        <v>7.356E-2</v>
      </c>
      <c r="F64">
        <f t="shared" si="0"/>
        <v>0.92644000000000004</v>
      </c>
      <c r="G64" s="34">
        <f t="shared" si="14"/>
        <v>0.4070045942498895</v>
      </c>
      <c r="H64" s="72">
        <f t="shared" si="5"/>
        <v>2.1789204120397178E-2</v>
      </c>
      <c r="I64" s="72">
        <v>694.58412963119542</v>
      </c>
      <c r="J64" s="73">
        <f t="shared" si="6"/>
        <v>19.875754001323617</v>
      </c>
      <c r="K64" s="73">
        <f t="shared" si="7"/>
        <v>395.04559712113178</v>
      </c>
      <c r="L64" s="34">
        <f t="shared" si="10"/>
        <v>3.2316456492618918E-2</v>
      </c>
      <c r="M64" s="34">
        <f t="shared" si="8"/>
        <v>0.64231393944177106</v>
      </c>
      <c r="N64" s="34">
        <f t="shared" si="9"/>
        <v>12.766473851965717</v>
      </c>
      <c r="O64" s="34"/>
      <c r="P64">
        <v>79</v>
      </c>
      <c r="Q64" s="38">
        <f t="shared" si="13"/>
        <v>6.4137332777448961</v>
      </c>
      <c r="R64" s="22">
        <f t="shared" si="11"/>
        <v>6.4137303891714934</v>
      </c>
      <c r="S64" s="43">
        <f t="shared" si="12"/>
        <v>6.413476179598038</v>
      </c>
    </row>
    <row r="65" spans="1:19" x14ac:dyDescent="0.2">
      <c r="A65">
        <v>61</v>
      </c>
      <c r="B65">
        <v>80</v>
      </c>
      <c r="C65">
        <f t="shared" si="2"/>
        <v>5.0986213091899199E-2</v>
      </c>
      <c r="D65">
        <f t="shared" si="3"/>
        <v>2.5995939254525534E-3</v>
      </c>
      <c r="E65">
        <v>8.0299999999999996E-2</v>
      </c>
      <c r="F65">
        <f t="shared" si="0"/>
        <v>0.91969999999999996</v>
      </c>
      <c r="G65" s="34">
        <f t="shared" si="14"/>
        <v>0.37432212533162335</v>
      </c>
      <c r="H65" s="72">
        <f t="shared" si="5"/>
        <v>1.9085267647170747E-2</v>
      </c>
      <c r="I65" s="72">
        <v>707.82062099300038</v>
      </c>
      <c r="J65" s="73">
        <f t="shared" si="6"/>
        <v>19.929289525070118</v>
      </c>
      <c r="K65" s="73">
        <f t="shared" si="7"/>
        <v>397.17658097406951</v>
      </c>
      <c r="L65" s="34">
        <f t="shared" si="10"/>
        <v>3.2682468918266122E-2</v>
      </c>
      <c r="M65" s="34">
        <f t="shared" si="8"/>
        <v>0.65133838546623068</v>
      </c>
      <c r="N65" s="34">
        <f t="shared" si="9"/>
        <v>12.980711262748235</v>
      </c>
      <c r="O65" s="34"/>
      <c r="P65">
        <v>80</v>
      </c>
      <c r="Q65" s="38">
        <f t="shared" si="13"/>
        <v>6.1357669591469932</v>
      </c>
      <c r="R65" s="22">
        <f t="shared" si="11"/>
        <v>6.1357636853223827</v>
      </c>
      <c r="S65" s="43">
        <f t="shared" si="12"/>
        <v>6.1354755716268077</v>
      </c>
    </row>
    <row r="66" spans="1:19" x14ac:dyDescent="0.2">
      <c r="A66">
        <v>62</v>
      </c>
      <c r="B66">
        <v>81</v>
      </c>
      <c r="C66">
        <f t="shared" si="2"/>
        <v>4.8558298182761132E-2</v>
      </c>
      <c r="D66">
        <f t="shared" si="3"/>
        <v>2.3579083224059432E-3</v>
      </c>
      <c r="E66">
        <v>8.7639999999999996E-2</v>
      </c>
      <c r="F66">
        <f t="shared" si="0"/>
        <v>0.91236000000000006</v>
      </c>
      <c r="G66" s="34">
        <f t="shared" si="14"/>
        <v>0.3415165342675599</v>
      </c>
      <c r="H66" s="72">
        <f t="shared" si="5"/>
        <v>1.6583461705307334E-2</v>
      </c>
      <c r="I66" s="72">
        <v>720.79118412814</v>
      </c>
      <c r="J66" s="73">
        <f t="shared" si="6"/>
        <v>19.980275738162014</v>
      </c>
      <c r="K66" s="73">
        <f t="shared" si="7"/>
        <v>399.21141857298562</v>
      </c>
      <c r="L66" s="34">
        <f t="shared" si="10"/>
        <v>3.2805591064063472E-2</v>
      </c>
      <c r="M66" s="34">
        <f t="shared" si="8"/>
        <v>0.655464755213372</v>
      </c>
      <c r="N66" s="34">
        <f t="shared" si="9"/>
        <v>13.096366545810039</v>
      </c>
      <c r="O66" s="34"/>
      <c r="P66">
        <v>81</v>
      </c>
      <c r="Q66" s="38">
        <f t="shared" si="13"/>
        <v>5.8633851333090599</v>
      </c>
      <c r="R66" s="22">
        <f t="shared" si="11"/>
        <v>5.8633813956600003</v>
      </c>
      <c r="S66" s="43">
        <f t="shared" si="12"/>
        <v>5.8630524629859178</v>
      </c>
    </row>
    <row r="67" spans="1:19" x14ac:dyDescent="0.2">
      <c r="A67">
        <v>63</v>
      </c>
      <c r="B67">
        <v>82</v>
      </c>
      <c r="C67">
        <f t="shared" si="2"/>
        <v>4.6245998269296325E-2</v>
      </c>
      <c r="D67">
        <f t="shared" si="3"/>
        <v>2.1386923559237585E-3</v>
      </c>
      <c r="E67">
        <v>9.5610000000000001E-2</v>
      </c>
      <c r="F67">
        <f t="shared" si="0"/>
        <v>0.90439000000000003</v>
      </c>
      <c r="G67" s="34">
        <f t="shared" si="14"/>
        <v>0.3088641384262385</v>
      </c>
      <c r="H67" s="72">
        <f t="shared" si="5"/>
        <v>1.4283730411107526E-2</v>
      </c>
      <c r="I67" s="72">
        <v>733.47225145178106</v>
      </c>
      <c r="J67" s="73">
        <f t="shared" si="6"/>
        <v>20.028834036344776</v>
      </c>
      <c r="K67" s="73">
        <f t="shared" si="7"/>
        <v>401.15419285544294</v>
      </c>
      <c r="L67" s="34">
        <f t="shared" si="10"/>
        <v>3.2652395841321402E-2</v>
      </c>
      <c r="M67" s="34">
        <f t="shared" si="8"/>
        <v>0.6539894171948607</v>
      </c>
      <c r="N67" s="34">
        <f t="shared" si="9"/>
        <v>13.098645498521709</v>
      </c>
      <c r="O67" s="34"/>
      <c r="P67">
        <v>82</v>
      </c>
      <c r="Q67" s="38">
        <f t="shared" si="13"/>
        <v>5.5970827195125974</v>
      </c>
      <c r="R67" s="22">
        <f t="shared" si="11"/>
        <v>5.5970784179961859</v>
      </c>
      <c r="S67" s="43">
        <f t="shared" si="12"/>
        <v>5.5966998620448214</v>
      </c>
    </row>
    <row r="68" spans="1:19" x14ac:dyDescent="0.2">
      <c r="A68">
        <v>64</v>
      </c>
      <c r="B68">
        <v>83</v>
      </c>
      <c r="C68">
        <f t="shared" si="2"/>
        <v>4.4043807875520306E-2</v>
      </c>
      <c r="D68">
        <f t="shared" si="3"/>
        <v>1.9398570121757445E-3</v>
      </c>
      <c r="E68">
        <v>0.10428</v>
      </c>
      <c r="F68">
        <f t="shared" si="0"/>
        <v>0.89571999999999996</v>
      </c>
      <c r="G68" s="34">
        <f t="shared" si="14"/>
        <v>0.27665578607115032</v>
      </c>
      <c r="H68" s="72">
        <f t="shared" si="5"/>
        <v>1.2184974289368792E-2</v>
      </c>
      <c r="I68" s="72">
        <v>745.84622123682277</v>
      </c>
      <c r="J68" s="73">
        <f t="shared" si="6"/>
        <v>20.075080034614071</v>
      </c>
      <c r="K68" s="73">
        <f t="shared" si="7"/>
        <v>403.00883839616051</v>
      </c>
      <c r="L68" s="34">
        <f t="shared" si="10"/>
        <v>3.2208352355088149E-2</v>
      </c>
      <c r="M68" s="34">
        <f t="shared" si="8"/>
        <v>0.64658525131144517</v>
      </c>
      <c r="N68" s="34">
        <f t="shared" si="9"/>
        <v>12.980250669278316</v>
      </c>
      <c r="O68" s="34"/>
      <c r="P68">
        <v>83</v>
      </c>
      <c r="Q68" s="38">
        <f t="shared" si="13"/>
        <v>5.3372293540267224</v>
      </c>
      <c r="R68" s="22">
        <f t="shared" si="11"/>
        <v>5.3372243599509011</v>
      </c>
      <c r="S68" s="43">
        <f t="shared" si="12"/>
        <v>5.3367848551477381</v>
      </c>
    </row>
    <row r="69" spans="1:19" x14ac:dyDescent="0.2">
      <c r="A69">
        <v>65</v>
      </c>
      <c r="B69">
        <v>84</v>
      </c>
      <c r="C69">
        <f t="shared" si="2"/>
        <v>4.1946483690971717E-2</v>
      </c>
      <c r="D69">
        <f t="shared" si="3"/>
        <v>1.7595074940369563E-3</v>
      </c>
      <c r="E69">
        <v>0.11369</v>
      </c>
      <c r="F69">
        <f t="shared" ref="F69:F95" si="15">1-E69</f>
        <v>0.88631000000000004</v>
      </c>
      <c r="G69" s="34">
        <f t="shared" si="14"/>
        <v>0.24520278975272125</v>
      </c>
      <c r="H69" s="72">
        <f t="shared" si="5"/>
        <v>1.0285394821343288E-2</v>
      </c>
      <c r="I69" s="72">
        <v>757.89145301954181</v>
      </c>
      <c r="J69" s="73">
        <f t="shared" si="6"/>
        <v>20.119123842489593</v>
      </c>
      <c r="K69" s="73">
        <f t="shared" si="7"/>
        <v>404.77914418943323</v>
      </c>
      <c r="L69" s="34">
        <f t="shared" si="10"/>
        <v>3.1452996318429079E-2</v>
      </c>
      <c r="M69" s="34">
        <f t="shared" si="8"/>
        <v>0.63280672814784389</v>
      </c>
      <c r="N69" s="34">
        <f t="shared" si="9"/>
        <v>12.731516931967116</v>
      </c>
      <c r="O69" s="34"/>
      <c r="P69">
        <v>84</v>
      </c>
      <c r="Q69" s="38">
        <f t="shared" ref="Q69:Q95" si="16">(1-I69/1000)/($C$2/(1+$C$2))</f>
        <v>5.0842794865896215</v>
      </c>
      <c r="R69" s="22">
        <f t="shared" si="11"/>
        <v>5.084273632327565</v>
      </c>
      <c r="S69" s="43">
        <f t="shared" si="12"/>
        <v>5.0837584266345797</v>
      </c>
    </row>
    <row r="70" spans="1:19" x14ac:dyDescent="0.2">
      <c r="A70">
        <v>66</v>
      </c>
      <c r="B70">
        <v>85</v>
      </c>
      <c r="C70">
        <f t="shared" ref="C70:C95" si="17">(1/(1+$C$2))^A70</f>
        <v>3.9949032086639732E-2</v>
      </c>
      <c r="D70">
        <f t="shared" ref="D70:D95" si="18">C70^2</f>
        <v>1.595925164659371E-3</v>
      </c>
      <c r="E70">
        <v>0.12389</v>
      </c>
      <c r="F70">
        <f t="shared" si="15"/>
        <v>0.87610999999999994</v>
      </c>
      <c r="G70" s="34">
        <f t="shared" ref="G70:G95" si="19">F70*G69</f>
        <v>0.21482461613025661</v>
      </c>
      <c r="H70" s="72">
        <f t="shared" ref="H70:H95" si="20">C70*G70</f>
        <v>8.5820354827876848E-3</v>
      </c>
      <c r="I70" s="72">
        <v>769.59080420001897</v>
      </c>
      <c r="J70" s="73">
        <f t="shared" ref="J70:J95" si="21">-PV($C$2,A70,1,,1)</f>
        <v>20.161070326180564</v>
      </c>
      <c r="K70" s="73">
        <f t="shared" ref="K70:K95" si="22">J70^2</f>
        <v>406.46875669719844</v>
      </c>
      <c r="L70" s="34">
        <f t="shared" si="10"/>
        <v>3.0378173622464637E-2</v>
      </c>
      <c r="M70" s="34">
        <f t="shared" ref="M70:M95" si="23">J70*L70</f>
        <v>0.61245649478343289</v>
      </c>
      <c r="N70" s="34">
        <f t="shared" ref="N70:N95" si="24">K70*L70</f>
        <v>12.34777846305483</v>
      </c>
      <c r="O70" s="34"/>
      <c r="P70">
        <v>85</v>
      </c>
      <c r="Q70" s="38">
        <f t="shared" si="16"/>
        <v>4.8385931117996011</v>
      </c>
      <c r="R70" s="22">
        <f t="shared" si="11"/>
        <v>4.8385861763310167</v>
      </c>
      <c r="S70" s="43">
        <f t="shared" si="12"/>
        <v>4.8379758188064095</v>
      </c>
    </row>
    <row r="71" spans="1:19" x14ac:dyDescent="0.2">
      <c r="A71">
        <v>67</v>
      </c>
      <c r="B71">
        <v>86</v>
      </c>
      <c r="C71">
        <f t="shared" si="17"/>
        <v>3.804669722537117E-2</v>
      </c>
      <c r="D71">
        <f t="shared" si="18"/>
        <v>1.4475511697590662E-3</v>
      </c>
      <c r="E71">
        <v>0.13494</v>
      </c>
      <c r="F71">
        <f t="shared" si="15"/>
        <v>0.86505999999999994</v>
      </c>
      <c r="G71" s="34">
        <f t="shared" si="19"/>
        <v>0.18583618242963976</v>
      </c>
      <c r="H71" s="72">
        <f t="shared" si="20"/>
        <v>7.0704529664193452E-3</v>
      </c>
      <c r="I71" s="72">
        <v>780.92972847019212</v>
      </c>
      <c r="J71" s="73">
        <f t="shared" si="21"/>
        <v>20.201019358267203</v>
      </c>
      <c r="K71" s="73">
        <f t="shared" si="22"/>
        <v>408.0811831130863</v>
      </c>
      <c r="L71" s="34">
        <f t="shared" ref="L71:L95" si="25">G70*E71</f>
        <v>2.8988433700616826E-2</v>
      </c>
      <c r="M71" s="34">
        <f t="shared" si="23"/>
        <v>0.58559591035200587</v>
      </c>
      <c r="N71" s="34">
        <f t="shared" si="24"/>
        <v>11.829634321142978</v>
      </c>
      <c r="O71" s="34"/>
      <c r="P71">
        <v>86</v>
      </c>
      <c r="Q71" s="38">
        <f t="shared" si="16"/>
        <v>4.6004757021259648</v>
      </c>
      <c r="R71" s="22">
        <f t="shared" ref="R71:R95" si="26">(R70-1)/($C$5*F70)</f>
        <v>4.6004673901080544</v>
      </c>
      <c r="S71" s="43">
        <f t="shared" ref="S71:S95" si="27">(S70-1)/($C$5*F70)</f>
        <v>4.5997358890398807</v>
      </c>
    </row>
    <row r="72" spans="1:19" x14ac:dyDescent="0.2">
      <c r="A72">
        <v>68</v>
      </c>
      <c r="B72">
        <v>87</v>
      </c>
      <c r="C72">
        <f t="shared" si="17"/>
        <v>3.6234949738448735E-2</v>
      </c>
      <c r="D72">
        <f t="shared" si="18"/>
        <v>1.312971582547906E-3</v>
      </c>
      <c r="E72">
        <v>0.14688999999999999</v>
      </c>
      <c r="F72">
        <f t="shared" si="15"/>
        <v>0.85311000000000003</v>
      </c>
      <c r="G72" s="34">
        <f t="shared" si="19"/>
        <v>0.15853870559254998</v>
      </c>
      <c r="H72" s="72">
        <f t="shared" si="20"/>
        <v>5.7446420287447699E-3</v>
      </c>
      <c r="I72" s="72">
        <v>791.89445228504599</v>
      </c>
      <c r="J72" s="73">
        <f t="shared" si="21"/>
        <v>20.239066055492575</v>
      </c>
      <c r="K72" s="73">
        <f t="shared" si="22"/>
        <v>409.61979479859178</v>
      </c>
      <c r="L72" s="34">
        <f t="shared" si="25"/>
        <v>2.7297476837089784E-2</v>
      </c>
      <c r="M72" s="34">
        <f t="shared" si="23"/>
        <v>0.55247543685413869</v>
      </c>
      <c r="N72" s="34">
        <f t="shared" si="24"/>
        <v>11.18158686052803</v>
      </c>
      <c r="O72" s="34"/>
      <c r="P72">
        <v>87</v>
      </c>
      <c r="Q72" s="38">
        <f t="shared" si="16"/>
        <v>4.3702165020140349</v>
      </c>
      <c r="R72" s="22">
        <f t="shared" si="26"/>
        <v>4.3702064129811315</v>
      </c>
      <c r="S72" s="43">
        <f t="shared" si="27"/>
        <v>4.3693185252952116</v>
      </c>
    </row>
    <row r="73" spans="1:19" x14ac:dyDescent="0.2">
      <c r="A73">
        <v>69</v>
      </c>
      <c r="B73">
        <v>88</v>
      </c>
      <c r="C73">
        <f t="shared" si="17"/>
        <v>3.4509475941379743E-2</v>
      </c>
      <c r="D73">
        <f t="shared" si="18"/>
        <v>1.1909039297486673E-3</v>
      </c>
      <c r="E73">
        <v>0.15981000000000001</v>
      </c>
      <c r="F73">
        <f t="shared" si="15"/>
        <v>0.84018999999999999</v>
      </c>
      <c r="G73" s="34">
        <f t="shared" si="19"/>
        <v>0.13320263505180457</v>
      </c>
      <c r="H73" s="72">
        <f t="shared" si="20"/>
        <v>4.5967531296486359E-3</v>
      </c>
      <c r="I73" s="72">
        <v>802.47468075546908</v>
      </c>
      <c r="J73" s="73">
        <f t="shared" si="21"/>
        <v>20.275301005231025</v>
      </c>
      <c r="K73" s="73">
        <f t="shared" si="22"/>
        <v>411.08783085272222</v>
      </c>
      <c r="L73" s="34">
        <f t="shared" si="25"/>
        <v>2.5336070540745412E-2</v>
      </c>
      <c r="M73" s="34">
        <f t="shared" si="23"/>
        <v>0.51369645650337958</v>
      </c>
      <c r="N73" s="34">
        <f t="shared" si="24"/>
        <v>10.415350280926589</v>
      </c>
      <c r="O73" s="34"/>
      <c r="P73">
        <v>88</v>
      </c>
      <c r="Q73" s="38">
        <f t="shared" si="16"/>
        <v>4.1480317041351489</v>
      </c>
      <c r="R73" s="22">
        <f t="shared" si="26"/>
        <v>4.1480192866455532</v>
      </c>
      <c r="S73" s="43">
        <f t="shared" si="27"/>
        <v>4.1469264825872072</v>
      </c>
    </row>
    <row r="74" spans="1:19" x14ac:dyDescent="0.2">
      <c r="A74">
        <v>70</v>
      </c>
      <c r="B74">
        <v>89</v>
      </c>
      <c r="C74">
        <f t="shared" si="17"/>
        <v>3.2866167563218807E-2</v>
      </c>
      <c r="D74">
        <f t="shared" si="18"/>
        <v>1.080184970293576E-3</v>
      </c>
      <c r="E74">
        <v>0.17374999999999999</v>
      </c>
      <c r="F74">
        <f t="shared" si="15"/>
        <v>0.82625000000000004</v>
      </c>
      <c r="G74" s="34">
        <f t="shared" si="19"/>
        <v>0.11005867721155353</v>
      </c>
      <c r="H74" s="72">
        <f t="shared" si="20"/>
        <v>3.6172069270211295E-3</v>
      </c>
      <c r="I74" s="72">
        <v>812.6595350971121</v>
      </c>
      <c r="J74" s="73">
        <f t="shared" si="21"/>
        <v>20.309810481172402</v>
      </c>
      <c r="K74" s="73">
        <f t="shared" si="22"/>
        <v>412.48840178114034</v>
      </c>
      <c r="L74" s="34">
        <f t="shared" si="25"/>
        <v>2.3143957840251042E-2</v>
      </c>
      <c r="M74" s="34">
        <f t="shared" si="23"/>
        <v>0.47004939751974278</v>
      </c>
      <c r="N74" s="34">
        <f t="shared" si="24"/>
        <v>9.5466141804152453</v>
      </c>
      <c r="O74" s="34"/>
      <c r="P74">
        <v>89</v>
      </c>
      <c r="Q74" s="38">
        <f t="shared" si="16"/>
        <v>3.9341497629606463</v>
      </c>
      <c r="R74" s="22">
        <f t="shared" si="26"/>
        <v>3.9341342446087566</v>
      </c>
      <c r="S74" s="43">
        <f t="shared" si="27"/>
        <v>3.9327685484432902</v>
      </c>
    </row>
    <row r="75" spans="1:19" x14ac:dyDescent="0.2">
      <c r="A75">
        <v>71</v>
      </c>
      <c r="B75">
        <v>90</v>
      </c>
      <c r="C75">
        <f t="shared" si="17"/>
        <v>3.1301111964970284E-2</v>
      </c>
      <c r="D75">
        <f t="shared" si="18"/>
        <v>9.7975961024360583E-4</v>
      </c>
      <c r="E75">
        <v>0.18877000000000002</v>
      </c>
      <c r="F75">
        <f t="shared" si="15"/>
        <v>0.81123000000000001</v>
      </c>
      <c r="G75" s="34">
        <f t="shared" si="19"/>
        <v>8.9282900714328567E-2</v>
      </c>
      <c r="H75" s="72">
        <f t="shared" si="20"/>
        <v>2.7946540718165238E-3</v>
      </c>
      <c r="I75" s="72">
        <v>822.44176926108048</v>
      </c>
      <c r="J75" s="73">
        <f t="shared" si="21"/>
        <v>20.342676648735623</v>
      </c>
      <c r="K75" s="73">
        <f t="shared" si="22"/>
        <v>413.82449323501356</v>
      </c>
      <c r="L75" s="34">
        <f t="shared" si="25"/>
        <v>2.0775776497224962E-2</v>
      </c>
      <c r="M75" s="34">
        <f t="shared" si="23"/>
        <v>0.42263490340944859</v>
      </c>
      <c r="N75" s="34">
        <f t="shared" si="24"/>
        <v>8.5975251805280255</v>
      </c>
      <c r="O75" s="34"/>
      <c r="P75">
        <v>90</v>
      </c>
      <c r="Q75" s="38">
        <f t="shared" si="16"/>
        <v>3.7287228455173103</v>
      </c>
      <c r="R75" s="22">
        <f t="shared" si="26"/>
        <v>3.7287031247675575</v>
      </c>
      <c r="S75" s="43">
        <f t="shared" si="27"/>
        <v>3.7269675956011556</v>
      </c>
    </row>
    <row r="76" spans="1:19" x14ac:dyDescent="0.2">
      <c r="A76">
        <v>72</v>
      </c>
      <c r="B76">
        <v>91</v>
      </c>
      <c r="C76">
        <f t="shared" si="17"/>
        <v>2.9810582823781222E-2</v>
      </c>
      <c r="D76">
        <f t="shared" si="18"/>
        <v>8.8867084829352E-4</v>
      </c>
      <c r="E76">
        <v>0.20493</v>
      </c>
      <c r="F76">
        <f t="shared" si="15"/>
        <v>0.79506999999999994</v>
      </c>
      <c r="G76" s="34">
        <f t="shared" si="19"/>
        <v>7.0986155870941203E-2</v>
      </c>
      <c r="H76" s="72">
        <f t="shared" si="20"/>
        <v>2.1161386789325365E-3</v>
      </c>
      <c r="I76" s="72">
        <v>831.81570913814153</v>
      </c>
      <c r="J76" s="73">
        <f t="shared" si="21"/>
        <v>20.373977760700594</v>
      </c>
      <c r="K76" s="73">
        <f t="shared" si="22"/>
        <v>415.09896979352237</v>
      </c>
      <c r="L76" s="34">
        <f t="shared" si="25"/>
        <v>1.8296744843387353E-2</v>
      </c>
      <c r="M76" s="34">
        <f t="shared" si="23"/>
        <v>0.37277747253238719</v>
      </c>
      <c r="N76" s="34">
        <f t="shared" si="24"/>
        <v>7.5949599350650328</v>
      </c>
      <c r="O76" s="34"/>
      <c r="P76">
        <v>91</v>
      </c>
      <c r="Q76" s="38">
        <f t="shared" si="16"/>
        <v>3.5318701080990285</v>
      </c>
      <c r="R76" s="22">
        <f t="shared" si="26"/>
        <v>3.5318445829246152</v>
      </c>
      <c r="S76" s="43">
        <f t="shared" si="27"/>
        <v>3.5295982340165102</v>
      </c>
    </row>
    <row r="77" spans="1:19" x14ac:dyDescent="0.2">
      <c r="A77">
        <v>73</v>
      </c>
      <c r="B77">
        <v>92</v>
      </c>
      <c r="C77">
        <f t="shared" si="17"/>
        <v>2.8391031260744024E-2</v>
      </c>
      <c r="D77">
        <f t="shared" si="18"/>
        <v>8.0605065604854437E-4</v>
      </c>
      <c r="E77">
        <v>0.22227000000000002</v>
      </c>
      <c r="F77">
        <f t="shared" si="15"/>
        <v>0.77773000000000003</v>
      </c>
      <c r="G77" s="34">
        <f t="shared" si="19"/>
        <v>5.5208063005507103E-2</v>
      </c>
      <c r="H77" s="72">
        <f t="shared" si="20"/>
        <v>1.567413842634478E-3</v>
      </c>
      <c r="I77" s="72">
        <v>840.77690592658348</v>
      </c>
      <c r="J77" s="73">
        <f t="shared" si="21"/>
        <v>20.403788343524372</v>
      </c>
      <c r="K77" s="73">
        <f t="shared" si="22"/>
        <v>416.31457876734106</v>
      </c>
      <c r="L77" s="34">
        <f t="shared" si="25"/>
        <v>1.5778092865434103E-2</v>
      </c>
      <c r="M77" s="34">
        <f t="shared" si="23"/>
        <v>0.3219328672907894</v>
      </c>
      <c r="N77" s="34">
        <f t="shared" si="24"/>
        <v>6.5686500850251877</v>
      </c>
      <c r="O77" s="34"/>
      <c r="P77">
        <v>92</v>
      </c>
      <c r="Q77" s="38">
        <f t="shared" si="16"/>
        <v>3.3436849755417466</v>
      </c>
      <c r="R77" s="22">
        <f t="shared" si="26"/>
        <v>3.3436512660153781</v>
      </c>
      <c r="S77" s="43">
        <f t="shared" si="27"/>
        <v>3.3406846513103705</v>
      </c>
    </row>
    <row r="78" spans="1:19" x14ac:dyDescent="0.2">
      <c r="A78">
        <v>74</v>
      </c>
      <c r="B78">
        <v>93</v>
      </c>
      <c r="C78">
        <f t="shared" si="17"/>
        <v>2.7039077391184781E-2</v>
      </c>
      <c r="D78">
        <f t="shared" si="18"/>
        <v>7.3111170616648E-4</v>
      </c>
      <c r="E78">
        <v>0.24086000000000002</v>
      </c>
      <c r="F78">
        <f t="shared" si="15"/>
        <v>0.75913999999999993</v>
      </c>
      <c r="G78" s="34">
        <f t="shared" si="19"/>
        <v>4.1910648950000656E-2</v>
      </c>
      <c r="H78" s="72">
        <f t="shared" si="20"/>
        <v>1.133225280473845E-3</v>
      </c>
      <c r="I78" s="72">
        <v>849.32528155389753</v>
      </c>
      <c r="J78" s="73">
        <f t="shared" si="21"/>
        <v>20.432179374785118</v>
      </c>
      <c r="K78" s="73">
        <f t="shared" si="22"/>
        <v>417.4739540033944</v>
      </c>
      <c r="L78" s="34">
        <f t="shared" si="25"/>
        <v>1.3297414055506442E-2</v>
      </c>
      <c r="M78" s="34">
        <f t="shared" si="23"/>
        <v>0.27169514920289645</v>
      </c>
      <c r="N78" s="34">
        <f t="shared" si="24"/>
        <v>5.5513240237725867</v>
      </c>
      <c r="O78" s="34"/>
      <c r="P78">
        <v>93</v>
      </c>
      <c r="Q78" s="38">
        <f t="shared" si="16"/>
        <v>3.1641690873681521</v>
      </c>
      <c r="R78" s="22">
        <f t="shared" si="26"/>
        <v>3.1641235767119014</v>
      </c>
      <c r="S78" s="43">
        <f t="shared" si="27"/>
        <v>3.1601184008279084</v>
      </c>
    </row>
    <row r="79" spans="1:19" x14ac:dyDescent="0.2">
      <c r="A79">
        <v>75</v>
      </c>
      <c r="B79">
        <v>94</v>
      </c>
      <c r="C79">
        <f t="shared" si="17"/>
        <v>2.5751502277318841E-2</v>
      </c>
      <c r="D79">
        <f t="shared" si="18"/>
        <v>6.6313986953875738E-4</v>
      </c>
      <c r="E79">
        <v>0.26073000000000002</v>
      </c>
      <c r="F79">
        <f t="shared" si="15"/>
        <v>0.73926999999999998</v>
      </c>
      <c r="G79" s="34">
        <f t="shared" si="19"/>
        <v>3.0983285449266984E-2</v>
      </c>
      <c r="H79" s="72">
        <f t="shared" si="20"/>
        <v>7.9786614580561839E-4</v>
      </c>
      <c r="I79" s="72">
        <v>857.45915856310091</v>
      </c>
      <c r="J79" s="73">
        <f t="shared" si="21"/>
        <v>20.459218452176305</v>
      </c>
      <c r="K79" s="73">
        <f t="shared" si="22"/>
        <v>418.57961967387143</v>
      </c>
      <c r="L79" s="34">
        <f t="shared" si="25"/>
        <v>1.0927363500733672E-2</v>
      </c>
      <c r="M79" s="34">
        <f t="shared" si="23"/>
        <v>0.2235653169678482</v>
      </c>
      <c r="N79" s="34">
        <f t="shared" si="24"/>
        <v>4.5739716581752452</v>
      </c>
      <c r="O79" s="34"/>
      <c r="P79">
        <v>94</v>
      </c>
      <c r="Q79" s="38">
        <f t="shared" si="16"/>
        <v>2.9933576701748801</v>
      </c>
      <c r="R79" s="22">
        <f t="shared" si="26"/>
        <v>2.9932947223799258</v>
      </c>
      <c r="S79" s="43">
        <f t="shared" si="27"/>
        <v>2.98775498705022</v>
      </c>
    </row>
    <row r="80" spans="1:19" x14ac:dyDescent="0.2">
      <c r="A80">
        <v>76</v>
      </c>
      <c r="B80">
        <v>95</v>
      </c>
      <c r="C80">
        <f t="shared" si="17"/>
        <v>2.4525240264113179E-2</v>
      </c>
      <c r="D80">
        <f t="shared" si="18"/>
        <v>6.0148741001247834E-4</v>
      </c>
      <c r="E80">
        <v>0.28191000000000005</v>
      </c>
      <c r="F80">
        <f t="shared" si="15"/>
        <v>0.7180899999999999</v>
      </c>
      <c r="G80" s="34">
        <f t="shared" si="19"/>
        <v>2.2248787448264126E-2</v>
      </c>
      <c r="H80" s="72">
        <f t="shared" si="20"/>
        <v>5.4565685775386332E-4</v>
      </c>
      <c r="I80" s="72">
        <v>865.18067349041087</v>
      </c>
      <c r="J80" s="73">
        <f t="shared" si="21"/>
        <v>20.484969954453621</v>
      </c>
      <c r="K80" s="73">
        <f t="shared" si="22"/>
        <v>419.63399403486761</v>
      </c>
      <c r="L80" s="34">
        <f t="shared" si="25"/>
        <v>8.7344980010028578E-3</v>
      </c>
      <c r="M80" s="34">
        <f t="shared" si="23"/>
        <v>0.17892592911777877</v>
      </c>
      <c r="N80" s="34">
        <f t="shared" si="24"/>
        <v>3.6652922820503964</v>
      </c>
      <c r="O80" s="34"/>
      <c r="P80">
        <v>95</v>
      </c>
      <c r="Q80" s="38">
        <f t="shared" si="16"/>
        <v>2.8312058567013727</v>
      </c>
      <c r="R80" s="22">
        <f t="shared" si="26"/>
        <v>2.8311164506863826</v>
      </c>
      <c r="S80" s="43">
        <f t="shared" si="27"/>
        <v>2.823248253551113</v>
      </c>
    </row>
    <row r="81" spans="1:19" x14ac:dyDescent="0.2">
      <c r="A81">
        <v>77</v>
      </c>
      <c r="B81">
        <v>96</v>
      </c>
      <c r="C81">
        <f t="shared" si="17"/>
        <v>2.3357371680107788E-2</v>
      </c>
      <c r="D81">
        <f t="shared" si="18"/>
        <v>5.4556681180270127E-4</v>
      </c>
      <c r="E81">
        <v>0.30445</v>
      </c>
      <c r="F81">
        <f t="shared" si="15"/>
        <v>0.69555</v>
      </c>
      <c r="G81" s="34">
        <f t="shared" si="19"/>
        <v>1.5475144109640113E-2</v>
      </c>
      <c r="H81" s="72">
        <f t="shared" si="20"/>
        <v>3.6145869277209484E-4</v>
      </c>
      <c r="I81" s="72">
        <v>872.49468334739572</v>
      </c>
      <c r="J81" s="73">
        <f t="shared" si="21"/>
        <v>20.509495194717736</v>
      </c>
      <c r="K81" s="73">
        <f t="shared" si="22"/>
        <v>420.63939314214991</v>
      </c>
      <c r="L81" s="34">
        <f t="shared" si="25"/>
        <v>6.7736433386240136E-3</v>
      </c>
      <c r="M81" s="34">
        <f t="shared" si="23"/>
        <v>0.138924005504241</v>
      </c>
      <c r="N81" s="34">
        <f t="shared" si="24"/>
        <v>2.8492612233201715</v>
      </c>
      <c r="O81" s="34"/>
      <c r="P81">
        <v>96</v>
      </c>
      <c r="Q81" s="38">
        <f t="shared" si="16"/>
        <v>2.6776116497046889</v>
      </c>
      <c r="R81" s="22">
        <f t="shared" si="26"/>
        <v>2.6774809191336768</v>
      </c>
      <c r="S81" s="43">
        <f t="shared" si="27"/>
        <v>2.6659759448379297</v>
      </c>
    </row>
    <row r="82" spans="1:19" x14ac:dyDescent="0.2">
      <c r="A82">
        <v>78</v>
      </c>
      <c r="B82">
        <v>97</v>
      </c>
      <c r="C82">
        <f t="shared" si="17"/>
        <v>2.224511588581694E-2</v>
      </c>
      <c r="D82">
        <f t="shared" si="18"/>
        <v>4.9484518077342514E-4</v>
      </c>
      <c r="E82">
        <v>0.32833999999999997</v>
      </c>
      <c r="F82">
        <f t="shared" si="15"/>
        <v>0.67166000000000003</v>
      </c>
      <c r="G82" s="34">
        <f t="shared" si="19"/>
        <v>1.0394035292680879E-2</v>
      </c>
      <c r="H82" s="72">
        <f t="shared" si="20"/>
        <v>2.3121651960695736E-4</v>
      </c>
      <c r="I82" s="72">
        <v>879.40395013265129</v>
      </c>
      <c r="J82" s="73">
        <f t="shared" si="21"/>
        <v>20.532852566397843</v>
      </c>
      <c r="K82" s="73">
        <f t="shared" si="22"/>
        <v>421.59803451343049</v>
      </c>
      <c r="L82" s="34">
        <f t="shared" si="25"/>
        <v>5.0811088169592337E-3</v>
      </c>
      <c r="M82" s="34">
        <f t="shared" si="23"/>
        <v>0.10432965821244811</v>
      </c>
      <c r="N82" s="34">
        <f t="shared" si="24"/>
        <v>2.1421854903788748</v>
      </c>
      <c r="O82" s="34"/>
      <c r="P82">
        <v>97</v>
      </c>
      <c r="Q82" s="38">
        <f t="shared" si="16"/>
        <v>2.5325170472143235</v>
      </c>
      <c r="R82" s="22">
        <f t="shared" si="26"/>
        <v>2.5323196967728574</v>
      </c>
      <c r="S82" s="43">
        <f t="shared" si="27"/>
        <v>2.5149518252890894</v>
      </c>
    </row>
    <row r="83" spans="1:19" x14ac:dyDescent="0.2">
      <c r="A83">
        <v>79</v>
      </c>
      <c r="B83">
        <v>98</v>
      </c>
      <c r="C83">
        <f t="shared" si="17"/>
        <v>2.1185824653158991E-2</v>
      </c>
      <c r="D83">
        <f t="shared" si="18"/>
        <v>4.4883916623439927E-4</v>
      </c>
      <c r="E83">
        <v>0.35360000000000003</v>
      </c>
      <c r="F83">
        <f t="shared" si="15"/>
        <v>0.64639999999999997</v>
      </c>
      <c r="G83" s="34">
        <f t="shared" si="19"/>
        <v>6.7187044131889195E-3</v>
      </c>
      <c r="H83" s="72">
        <f t="shared" si="20"/>
        <v>1.4234129359422593E-4</v>
      </c>
      <c r="I83" s="72">
        <v>885.91571277027629</v>
      </c>
      <c r="J83" s="73">
        <f t="shared" si="21"/>
        <v>20.555097682283659</v>
      </c>
      <c r="K83" s="73">
        <f t="shared" si="22"/>
        <v>422.51204072822304</v>
      </c>
      <c r="L83" s="34">
        <f t="shared" si="25"/>
        <v>3.675330879491959E-3</v>
      </c>
      <c r="M83" s="34">
        <f t="shared" si="23"/>
        <v>7.5546785242670722E-2</v>
      </c>
      <c r="N83" s="34">
        <f t="shared" si="24"/>
        <v>1.5528715502456023</v>
      </c>
      <c r="O83" s="34"/>
      <c r="P83">
        <v>98</v>
      </c>
      <c r="Q83" s="38">
        <f t="shared" si="16"/>
        <v>2.395770031824199</v>
      </c>
      <c r="R83" s="22">
        <f t="shared" si="26"/>
        <v>2.3954615156649202</v>
      </c>
      <c r="S83" s="43">
        <f t="shared" si="27"/>
        <v>2.3683104793400589</v>
      </c>
    </row>
    <row r="84" spans="1:19" x14ac:dyDescent="0.2">
      <c r="A84">
        <v>80</v>
      </c>
      <c r="B84">
        <v>99</v>
      </c>
      <c r="C84">
        <f t="shared" si="17"/>
        <v>2.0176975860151419E-2</v>
      </c>
      <c r="D84">
        <f t="shared" si="18"/>
        <v>4.0711035486113307E-4</v>
      </c>
      <c r="E84">
        <v>0.38019999999999998</v>
      </c>
      <c r="F84">
        <f t="shared" si="15"/>
        <v>0.61980000000000002</v>
      </c>
      <c r="G84" s="34">
        <f t="shared" si="19"/>
        <v>4.164252995294492E-3</v>
      </c>
      <c r="H84" s="72">
        <f t="shared" si="20"/>
        <v>8.4022032161620199E-5</v>
      </c>
      <c r="I84" s="72">
        <v>892.03511511260865</v>
      </c>
      <c r="J84" s="73">
        <f t="shared" si="21"/>
        <v>20.576283506936822</v>
      </c>
      <c r="K84" s="73">
        <f t="shared" si="22"/>
        <v>423.38344295784026</v>
      </c>
      <c r="L84" s="34">
        <f t="shared" si="25"/>
        <v>2.5544514178944271E-3</v>
      </c>
      <c r="M84" s="34">
        <f t="shared" si="23"/>
        <v>5.256111657929248E-2</v>
      </c>
      <c r="N84" s="34">
        <f t="shared" si="24"/>
        <v>1.0815124361766792</v>
      </c>
      <c r="O84" s="34"/>
      <c r="P84">
        <v>99</v>
      </c>
      <c r="Q84" s="38">
        <f t="shared" si="16"/>
        <v>2.2672625826352175</v>
      </c>
      <c r="R84" s="22">
        <f t="shared" si="26"/>
        <v>2.2667614347898613</v>
      </c>
      <c r="S84" s="43">
        <f t="shared" si="27"/>
        <v>2.2226578021458261</v>
      </c>
    </row>
    <row r="85" spans="1:19" x14ac:dyDescent="0.2">
      <c r="A85">
        <v>81</v>
      </c>
      <c r="B85">
        <v>100</v>
      </c>
      <c r="C85">
        <f t="shared" si="17"/>
        <v>1.9216167485858495E-2</v>
      </c>
      <c r="D85">
        <f t="shared" si="18"/>
        <v>3.6926109284456522E-4</v>
      </c>
      <c r="E85">
        <v>0.40811999999999998</v>
      </c>
      <c r="F85">
        <f t="shared" si="15"/>
        <v>0.59187999999999996</v>
      </c>
      <c r="G85" s="34">
        <f t="shared" si="19"/>
        <v>2.4647380628549037E-3</v>
      </c>
      <c r="H85" s="72">
        <f t="shared" si="20"/>
        <v>4.7362819424590252E-5</v>
      </c>
      <c r="I85" s="72">
        <v>897.76842669932103</v>
      </c>
      <c r="J85" s="73">
        <f t="shared" si="21"/>
        <v>20.596460482796971</v>
      </c>
      <c r="K85" s="73">
        <f t="shared" si="22"/>
        <v>424.21418441941722</v>
      </c>
      <c r="L85" s="34">
        <f t="shared" si="25"/>
        <v>1.6995149324395881E-3</v>
      </c>
      <c r="M85" s="34">
        <f t="shared" si="23"/>
        <v>3.500399214591534E-2</v>
      </c>
      <c r="N85" s="34">
        <f t="shared" si="24"/>
        <v>0.72095834097348077</v>
      </c>
      <c r="O85" s="34"/>
      <c r="P85">
        <v>100</v>
      </c>
      <c r="Q85" s="38">
        <f t="shared" si="16"/>
        <v>2.1468630393142591</v>
      </c>
      <c r="R85" s="22">
        <f t="shared" si="26"/>
        <v>2.146014047320675</v>
      </c>
      <c r="S85" s="43">
        <f t="shared" si="27"/>
        <v>2.0712983095403636</v>
      </c>
    </row>
    <row r="86" spans="1:19" x14ac:dyDescent="0.2">
      <c r="A86">
        <v>82</v>
      </c>
      <c r="B86">
        <v>101</v>
      </c>
      <c r="C86">
        <f t="shared" si="17"/>
        <v>1.8301111891293805E-2</v>
      </c>
      <c r="D86">
        <f t="shared" si="18"/>
        <v>3.3493069645765548E-4</v>
      </c>
      <c r="E86">
        <v>0.43727999999999995</v>
      </c>
      <c r="F86">
        <f t="shared" si="15"/>
        <v>0.56272000000000011</v>
      </c>
      <c r="G86" s="34">
        <f t="shared" si="19"/>
        <v>1.3869574027297116E-3</v>
      </c>
      <c r="H86" s="72">
        <f t="shared" si="20"/>
        <v>2.5382862615814694E-5</v>
      </c>
      <c r="I86" s="72">
        <v>903.11692916518086</v>
      </c>
      <c r="J86" s="73">
        <f t="shared" si="21"/>
        <v>20.615676650282829</v>
      </c>
      <c r="K86" s="73">
        <f t="shared" si="22"/>
        <v>425.00612374901664</v>
      </c>
      <c r="L86" s="34">
        <f t="shared" si="25"/>
        <v>1.0777806601251921E-3</v>
      </c>
      <c r="M86" s="34">
        <f t="shared" si="23"/>
        <v>2.2219177589069338E-2</v>
      </c>
      <c r="N86" s="34">
        <f t="shared" si="24"/>
        <v>0.45806338061146423</v>
      </c>
      <c r="O86" s="34"/>
      <c r="P86">
        <v>101</v>
      </c>
      <c r="Q86" s="38">
        <f t="shared" si="16"/>
        <v>2.0345444875312029</v>
      </c>
      <c r="R86" s="22">
        <f t="shared" si="26"/>
        <v>2.0330383687347249</v>
      </c>
      <c r="S86" s="43">
        <f t="shared" si="27"/>
        <v>1.9004920338875819</v>
      </c>
    </row>
    <row r="87" spans="1:19" x14ac:dyDescent="0.2">
      <c r="A87">
        <v>83</v>
      </c>
      <c r="B87">
        <v>102</v>
      </c>
      <c r="C87">
        <f t="shared" si="17"/>
        <v>1.7429630372660765E-2</v>
      </c>
      <c r="D87">
        <f t="shared" si="18"/>
        <v>3.0379201492757864E-4</v>
      </c>
      <c r="E87">
        <v>0.46761000000000003</v>
      </c>
      <c r="F87">
        <f t="shared" si="15"/>
        <v>0.53238999999999992</v>
      </c>
      <c r="G87" s="34">
        <f t="shared" si="19"/>
        <v>7.3840225163927103E-4</v>
      </c>
      <c r="H87" s="72">
        <f t="shared" si="20"/>
        <v>1.2870078312412936E-5</v>
      </c>
      <c r="I87" s="72">
        <v>908.0764423220071</v>
      </c>
      <c r="J87" s="73">
        <f t="shared" si="21"/>
        <v>20.633977762174119</v>
      </c>
      <c r="K87" s="73">
        <f t="shared" si="22"/>
        <v>425.76103828989608</v>
      </c>
      <c r="L87" s="34">
        <f t="shared" si="25"/>
        <v>6.4855515109044049E-4</v>
      </c>
      <c r="M87" s="34">
        <f t="shared" si="23"/>
        <v>1.3382272565143625E-2</v>
      </c>
      <c r="N87" s="34">
        <f t="shared" si="24"/>
        <v>0.2761295145165264</v>
      </c>
      <c r="O87" s="34"/>
      <c r="P87">
        <v>102</v>
      </c>
      <c r="Q87" s="38">
        <f t="shared" si="16"/>
        <v>1.9303947112378503</v>
      </c>
      <c r="R87" s="22">
        <f t="shared" si="26"/>
        <v>1.927584388632821</v>
      </c>
      <c r="S87" s="43">
        <f t="shared" si="27"/>
        <v>1.6802612943950115</v>
      </c>
    </row>
    <row r="88" spans="1:19" x14ac:dyDescent="0.2">
      <c r="A88">
        <v>84</v>
      </c>
      <c r="B88">
        <v>103</v>
      </c>
      <c r="C88">
        <f t="shared" si="17"/>
        <v>1.6599647973962631E-2</v>
      </c>
      <c r="D88">
        <f t="shared" si="18"/>
        <v>2.7554831285948167E-4</v>
      </c>
      <c r="E88">
        <v>0.49898999999999999</v>
      </c>
      <c r="F88">
        <f t="shared" si="15"/>
        <v>0.50100999999999996</v>
      </c>
      <c r="G88" s="34">
        <f t="shared" si="19"/>
        <v>3.6994691209379113E-4</v>
      </c>
      <c r="H88" s="72">
        <f t="shared" si="20"/>
        <v>6.140988509811432E-6</v>
      </c>
      <c r="I88" s="72">
        <v>912.62094411635746</v>
      </c>
      <c r="J88" s="73">
        <f t="shared" si="21"/>
        <v>20.651407392546783</v>
      </c>
      <c r="K88" s="73">
        <f t="shared" si="22"/>
        <v>426.48062729293594</v>
      </c>
      <c r="L88" s="34">
        <f t="shared" si="25"/>
        <v>3.6845533954547985E-4</v>
      </c>
      <c r="M88" s="34">
        <f t="shared" si="23"/>
        <v>7.6091213229128579E-3</v>
      </c>
      <c r="N88" s="34">
        <f t="shared" si="24"/>
        <v>0.15713906433878794</v>
      </c>
      <c r="O88" s="34"/>
      <c r="P88">
        <v>103</v>
      </c>
      <c r="Q88" s="38">
        <f t="shared" si="16"/>
        <v>1.8349601735564944</v>
      </c>
      <c r="R88" s="22">
        <f t="shared" si="26"/>
        <v>1.8294175474078442</v>
      </c>
      <c r="S88" s="43">
        <f t="shared" si="27"/>
        <v>1.3416374445702626</v>
      </c>
    </row>
    <row r="89" spans="1:19" x14ac:dyDescent="0.2">
      <c r="A89">
        <v>85</v>
      </c>
      <c r="B89">
        <v>104</v>
      </c>
      <c r="C89">
        <f t="shared" si="17"/>
        <v>1.5809188546631076E-2</v>
      </c>
      <c r="D89">
        <f t="shared" si="18"/>
        <v>2.499304425029312E-4</v>
      </c>
      <c r="E89">
        <v>0.53127999999999997</v>
      </c>
      <c r="F89">
        <f t="shared" si="15"/>
        <v>0.46872000000000003</v>
      </c>
      <c r="G89" s="34">
        <f t="shared" si="19"/>
        <v>1.734015166366018E-4</v>
      </c>
      <c r="H89" s="72">
        <f t="shared" si="20"/>
        <v>2.7413372707798232E-6</v>
      </c>
      <c r="I89" s="72">
        <v>916.67230458908091</v>
      </c>
      <c r="J89" s="73">
        <f t="shared" si="21"/>
        <v>20.668007040520749</v>
      </c>
      <c r="K89" s="73">
        <f t="shared" si="22"/>
        <v>427.16651502701524</v>
      </c>
      <c r="L89" s="34">
        <f t="shared" si="25"/>
        <v>1.9654539545718933E-4</v>
      </c>
      <c r="M89" s="34">
        <f t="shared" si="23"/>
        <v>4.0622016170911235E-3</v>
      </c>
      <c r="N89" s="34">
        <f t="shared" si="24"/>
        <v>8.3957611622054118E-2</v>
      </c>
      <c r="O89" s="34"/>
      <c r="P89">
        <v>104</v>
      </c>
      <c r="Q89" s="38">
        <f t="shared" si="16"/>
        <v>1.7498816036293015</v>
      </c>
      <c r="R89" s="22">
        <f t="shared" si="26"/>
        <v>1.738265553139132</v>
      </c>
      <c r="S89" s="43">
        <f t="shared" si="27"/>
        <v>0.7159923290927841</v>
      </c>
    </row>
    <row r="90" spans="1:19" x14ac:dyDescent="0.2">
      <c r="A90">
        <v>86</v>
      </c>
      <c r="B90">
        <v>105</v>
      </c>
      <c r="C90">
        <f t="shared" si="17"/>
        <v>1.5056370044410549E-2</v>
      </c>
      <c r="D90">
        <f t="shared" si="18"/>
        <v>2.2669427891422334E-4</v>
      </c>
      <c r="E90">
        <v>0.56428999999999996</v>
      </c>
      <c r="F90">
        <f t="shared" si="15"/>
        <v>0.43571000000000004</v>
      </c>
      <c r="G90" s="34">
        <f t="shared" si="19"/>
        <v>7.5552774813733773E-5</v>
      </c>
      <c r="H90" s="72">
        <f t="shared" si="20"/>
        <v>1.1375505354775969E-6</v>
      </c>
      <c r="I90" s="72">
        <v>920.00750942681134</v>
      </c>
      <c r="J90" s="73">
        <f t="shared" si="21"/>
        <v>20.683816229067379</v>
      </c>
      <c r="K90" s="73">
        <f t="shared" si="22"/>
        <v>427.82025379783107</v>
      </c>
      <c r="L90" s="34">
        <f t="shared" si="25"/>
        <v>9.7848741822868028E-5</v>
      </c>
      <c r="M90" s="34">
        <f t="shared" si="23"/>
        <v>2.0238853941096616E-3</v>
      </c>
      <c r="N90" s="34">
        <f t="shared" si="24"/>
        <v>4.1861673560457849E-2</v>
      </c>
      <c r="O90" s="34"/>
      <c r="P90">
        <v>105</v>
      </c>
      <c r="Q90" s="38">
        <f t="shared" si="16"/>
        <v>1.6798423020369626</v>
      </c>
      <c r="R90" s="22">
        <f t="shared" si="26"/>
        <v>1.6538206835554032</v>
      </c>
      <c r="S90" s="43">
        <f t="shared" si="27"/>
        <v>-0.63621790077781337</v>
      </c>
    </row>
    <row r="91" spans="1:19" x14ac:dyDescent="0.2">
      <c r="A91">
        <v>87</v>
      </c>
      <c r="B91">
        <v>106</v>
      </c>
      <c r="C91">
        <f t="shared" si="17"/>
        <v>1.4339400042295759E-2</v>
      </c>
      <c r="D91">
        <f t="shared" si="18"/>
        <v>2.0561839357299163E-4</v>
      </c>
      <c r="E91">
        <v>0.59783000000000008</v>
      </c>
      <c r="F91">
        <f t="shared" si="15"/>
        <v>0.40216999999999992</v>
      </c>
      <c r="G91" s="34">
        <f t="shared" si="19"/>
        <v>3.0385059446839305E-5</v>
      </c>
      <c r="H91" s="72">
        <f t="shared" si="20"/>
        <v>4.3570352271716668E-7</v>
      </c>
      <c r="I91" s="72">
        <v>921.98454223715748</v>
      </c>
      <c r="J91" s="73">
        <f t="shared" si="21"/>
        <v>20.698872599111787</v>
      </c>
      <c r="K91" s="73">
        <f t="shared" si="22"/>
        <v>428.44332687426078</v>
      </c>
      <c r="L91" s="34">
        <f t="shared" si="25"/>
        <v>4.5167715366894468E-5</v>
      </c>
      <c r="M91" s="34">
        <f t="shared" si="23"/>
        <v>9.3492078597229235E-4</v>
      </c>
      <c r="N91" s="34">
        <f t="shared" si="24"/>
        <v>1.9351806239101939E-2</v>
      </c>
      <c r="O91" s="34"/>
      <c r="P91">
        <v>106</v>
      </c>
      <c r="Q91" s="38">
        <f t="shared" si="16"/>
        <v>1.6383246130196918</v>
      </c>
      <c r="R91" s="22">
        <f t="shared" si="26"/>
        <v>1.57561616151379</v>
      </c>
      <c r="S91" s="43">
        <f t="shared" si="27"/>
        <v>-3.9430556925861335</v>
      </c>
    </row>
    <row r="92" spans="1:19" x14ac:dyDescent="0.2">
      <c r="A92">
        <v>88</v>
      </c>
      <c r="B92">
        <v>107</v>
      </c>
      <c r="C92">
        <f t="shared" si="17"/>
        <v>1.3656571468853105E-2</v>
      </c>
      <c r="D92">
        <f t="shared" si="18"/>
        <v>1.8650194428389266E-4</v>
      </c>
      <c r="E92">
        <v>0.63163999999999998</v>
      </c>
      <c r="F92">
        <f t="shared" si="15"/>
        <v>0.36836000000000002</v>
      </c>
      <c r="G92" s="34">
        <f t="shared" si="19"/>
        <v>1.1192640497837727E-5</v>
      </c>
      <c r="H92" s="72">
        <f t="shared" si="20"/>
        <v>1.5285309488390053E-7</v>
      </c>
      <c r="I92" s="72">
        <v>920.63995163491904</v>
      </c>
      <c r="J92" s="73">
        <f t="shared" si="21"/>
        <v>20.713211999154083</v>
      </c>
      <c r="K92" s="73">
        <f t="shared" si="22"/>
        <v>429.03715132190069</v>
      </c>
      <c r="L92" s="34">
        <f t="shared" si="25"/>
        <v>1.9192418949001577E-5</v>
      </c>
      <c r="M92" s="34">
        <f t="shared" si="23"/>
        <v>3.9753664246725169E-4</v>
      </c>
      <c r="N92" s="34">
        <f t="shared" si="24"/>
        <v>8.234260752856104E-3</v>
      </c>
      <c r="O92" s="34"/>
      <c r="P92">
        <v>107</v>
      </c>
      <c r="Q92" s="38">
        <f t="shared" si="16"/>
        <v>1.6665610156666995</v>
      </c>
      <c r="R92" s="22">
        <f t="shared" si="26"/>
        <v>1.5028395195799777</v>
      </c>
      <c r="S92" s="43">
        <f t="shared" si="27"/>
        <v>-12.905508807756524</v>
      </c>
    </row>
    <row r="93" spans="1:19" x14ac:dyDescent="0.2">
      <c r="A93">
        <v>89</v>
      </c>
      <c r="B93">
        <v>108</v>
      </c>
      <c r="C93">
        <f t="shared" si="17"/>
        <v>1.3006258541764862E-2</v>
      </c>
      <c r="D93">
        <f t="shared" si="18"/>
        <v>1.6916276125523142E-4</v>
      </c>
      <c r="E93">
        <v>0.6654500000000001</v>
      </c>
      <c r="F93">
        <f t="shared" si="15"/>
        <v>0.3345499999999999</v>
      </c>
      <c r="G93" s="34">
        <f t="shared" si="19"/>
        <v>3.7444978785516108E-6</v>
      </c>
      <c r="H93" s="72">
        <f t="shared" si="20"/>
        <v>4.8701907517532289E-8</v>
      </c>
      <c r="I93" s="72">
        <v>909.52315456799056</v>
      </c>
      <c r="J93" s="73">
        <f t="shared" si="21"/>
        <v>20.726868570622937</v>
      </c>
      <c r="K93" s="73">
        <f t="shared" si="22"/>
        <v>429.60308074387689</v>
      </c>
      <c r="L93" s="34">
        <f t="shared" si="25"/>
        <v>7.4481426192861172E-6</v>
      </c>
      <c r="M93" s="34">
        <f t="shared" si="23"/>
        <v>1.5437667316519862E-4</v>
      </c>
      <c r="N93" s="34">
        <f t="shared" si="24"/>
        <v>3.1997450150650845E-3</v>
      </c>
      <c r="O93" s="34"/>
      <c r="P93">
        <v>108</v>
      </c>
      <c r="Q93" s="38">
        <f t="shared" si="16"/>
        <v>1.9000137540721975</v>
      </c>
      <c r="R93" s="22">
        <f t="shared" si="26"/>
        <v>1.4333301540856136</v>
      </c>
      <c r="S93" s="43">
        <f t="shared" si="27"/>
        <v>-39.6372685637538</v>
      </c>
    </row>
    <row r="94" spans="1:19" x14ac:dyDescent="0.2">
      <c r="A94">
        <v>90</v>
      </c>
      <c r="B94">
        <v>109</v>
      </c>
      <c r="C94">
        <f t="shared" si="17"/>
        <v>1.2386912896918914E-2</v>
      </c>
      <c r="D94">
        <f t="shared" si="18"/>
        <v>1.5343561111585613E-4</v>
      </c>
      <c r="E94">
        <v>0.69886999999999999</v>
      </c>
      <c r="F94">
        <f t="shared" si="15"/>
        <v>0.30113000000000001</v>
      </c>
      <c r="G94" s="34">
        <f t="shared" si="19"/>
        <v>1.1275806461682465E-6</v>
      </c>
      <c r="H94" s="72">
        <f t="shared" si="20"/>
        <v>1.3967243248337614E-8</v>
      </c>
      <c r="I94" s="72">
        <v>865.48890239542709</v>
      </c>
      <c r="J94" s="73">
        <f t="shared" si="21"/>
        <v>20.739874829164702</v>
      </c>
      <c r="K94" s="73">
        <f t="shared" si="22"/>
        <v>430.14240792941956</v>
      </c>
      <c r="L94" s="34">
        <f t="shared" si="25"/>
        <v>2.6169172323833643E-6</v>
      </c>
      <c r="M94" s="34">
        <f t="shared" si="23"/>
        <v>5.4274535837915091E-5</v>
      </c>
      <c r="N94" s="34">
        <f t="shared" si="24"/>
        <v>1.1256470796893727E-3</v>
      </c>
      <c r="O94" s="34"/>
      <c r="P94">
        <v>109</v>
      </c>
      <c r="Q94" s="38">
        <f t="shared" si="16"/>
        <v>2.8247330496960315</v>
      </c>
      <c r="R94" s="22">
        <f t="shared" si="26"/>
        <v>1.360025890868015</v>
      </c>
      <c r="S94" s="43">
        <f t="shared" si="27"/>
        <v>-127.54186815705127</v>
      </c>
    </row>
    <row r="95" spans="1:19" x14ac:dyDescent="0.2">
      <c r="A95">
        <v>91</v>
      </c>
      <c r="B95">
        <v>110</v>
      </c>
      <c r="C95">
        <f t="shared" si="17"/>
        <v>1.1797059901827537E-2</v>
      </c>
      <c r="D95">
        <f t="shared" si="18"/>
        <v>1.3917062232730713E-4</v>
      </c>
      <c r="E95">
        <v>0.73187000000000002</v>
      </c>
      <c r="F95">
        <f t="shared" si="15"/>
        <v>0.26812999999999998</v>
      </c>
      <c r="G95" s="34">
        <f t="shared" si="19"/>
        <v>3.0233819865709192E-7</v>
      </c>
      <c r="H95" s="72">
        <f t="shared" si="20"/>
        <v>3.566701840168347E-9</v>
      </c>
      <c r="I95" s="72">
        <v>697.0190532832944</v>
      </c>
      <c r="J95" s="73">
        <f t="shared" si="21"/>
        <v>20.75226174206162</v>
      </c>
      <c r="K95" s="73">
        <f t="shared" si="22"/>
        <v>430.65636741103441</v>
      </c>
      <c r="L95" s="34">
        <f t="shared" si="25"/>
        <v>8.2524244751115461E-7</v>
      </c>
      <c r="M95" s="34">
        <f t="shared" si="23"/>
        <v>1.712564727141103E-5</v>
      </c>
      <c r="N95" s="34">
        <f t="shared" si="24"/>
        <v>3.5539591467854509E-4</v>
      </c>
      <c r="O95" s="34"/>
      <c r="P95">
        <v>110</v>
      </c>
      <c r="Q95" s="38">
        <f t="shared" si="16"/>
        <v>6.3625998810508184</v>
      </c>
      <c r="R95" s="22">
        <f t="shared" si="26"/>
        <v>1.2553620875084373</v>
      </c>
      <c r="S95" s="43">
        <f t="shared" si="27"/>
        <v>-448.20828733405455</v>
      </c>
    </row>
  </sheetData>
  <mergeCells count="1">
    <mergeCell ref="W3:W4"/>
  </mergeCells>
  <pageMargins left="0.75" right="0.75" top="1" bottom="1" header="0.5" footer="0.5"/>
  <pageSetup orientation="portrait" horizontalDpi="4294967292" verticalDpi="429496729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AC95"/>
  <sheetViews>
    <sheetView workbookViewId="0">
      <selection activeCell="E5" sqref="E5"/>
    </sheetView>
  </sheetViews>
  <sheetFormatPr baseColWidth="10" defaultRowHeight="16" x14ac:dyDescent="0.2"/>
  <cols>
    <col min="9" max="9" width="18.33203125" bestFit="1" customWidth="1"/>
    <col min="10" max="14" width="18.33203125" customWidth="1"/>
    <col min="17" max="17" width="21.83203125" bestFit="1" customWidth="1"/>
    <col min="18" max="18" width="20" bestFit="1" customWidth="1"/>
    <col min="19" max="19" width="21.6640625" bestFit="1" customWidth="1"/>
    <col min="20" max="20" width="3.83203125" customWidth="1"/>
    <col min="21" max="21" width="3.1640625" customWidth="1"/>
    <col min="22" max="22" width="21.83203125" bestFit="1" customWidth="1"/>
    <col min="23" max="23" width="19.33203125" customWidth="1"/>
  </cols>
  <sheetData>
    <row r="1" spans="1:29" x14ac:dyDescent="0.2">
      <c r="B1" s="2"/>
      <c r="Q1" t="s">
        <v>133</v>
      </c>
    </row>
    <row r="2" spans="1:29" x14ac:dyDescent="0.2">
      <c r="A2" t="s">
        <v>71</v>
      </c>
      <c r="C2">
        <v>0.05</v>
      </c>
      <c r="E2" t="s">
        <v>13</v>
      </c>
      <c r="Q2" t="s">
        <v>138</v>
      </c>
      <c r="R2" t="s">
        <v>139</v>
      </c>
      <c r="S2" t="s">
        <v>140</v>
      </c>
      <c r="V2" t="s">
        <v>141</v>
      </c>
      <c r="W2" t="s">
        <v>142</v>
      </c>
    </row>
    <row r="3" spans="1:29" x14ac:dyDescent="0.2">
      <c r="G3" t="s">
        <v>92</v>
      </c>
      <c r="H3" t="s">
        <v>120</v>
      </c>
      <c r="I3" t="s">
        <v>135</v>
      </c>
      <c r="Q3" t="s">
        <v>115</v>
      </c>
      <c r="R3" t="s">
        <v>116</v>
      </c>
      <c r="S3" t="s">
        <v>131</v>
      </c>
      <c r="V3" t="s">
        <v>90</v>
      </c>
      <c r="W3" s="118" t="s">
        <v>132</v>
      </c>
    </row>
    <row r="4" spans="1:29" x14ac:dyDescent="0.2">
      <c r="A4" t="s">
        <v>70</v>
      </c>
      <c r="B4" t="s">
        <v>0</v>
      </c>
      <c r="C4" t="s">
        <v>69</v>
      </c>
      <c r="D4" t="s">
        <v>89</v>
      </c>
      <c r="E4" t="s">
        <v>65</v>
      </c>
      <c r="F4" t="s">
        <v>6</v>
      </c>
      <c r="G4">
        <v>1</v>
      </c>
      <c r="H4">
        <v>1</v>
      </c>
      <c r="I4" t="s">
        <v>134</v>
      </c>
      <c r="J4" t="s">
        <v>121</v>
      </c>
      <c r="K4" t="s">
        <v>125</v>
      </c>
      <c r="L4" t="s">
        <v>122</v>
      </c>
      <c r="M4" t="s">
        <v>126</v>
      </c>
      <c r="N4" t="s">
        <v>127</v>
      </c>
      <c r="P4" t="s">
        <v>110</v>
      </c>
      <c r="V4" t="s">
        <v>115</v>
      </c>
      <c r="W4" s="119"/>
    </row>
    <row r="5" spans="1:29" x14ac:dyDescent="0.2">
      <c r="A5">
        <v>1</v>
      </c>
      <c r="B5">
        <v>20</v>
      </c>
      <c r="C5">
        <f>(1/(1+$C$2))^A5</f>
        <v>0.95238095238095233</v>
      </c>
      <c r="D5">
        <f>C5^2</f>
        <v>0.90702947845804982</v>
      </c>
      <c r="E5">
        <v>1.0300000000000001E-3</v>
      </c>
      <c r="F5">
        <f t="shared" ref="F5:F68" si="0">1-E5</f>
        <v>0.99897000000000002</v>
      </c>
      <c r="G5">
        <f>F5</f>
        <v>0.99897000000000002</v>
      </c>
      <c r="H5" s="72">
        <f>C5*G5</f>
        <v>0.95140000000000002</v>
      </c>
      <c r="I5" s="72">
        <v>383.22513440309166</v>
      </c>
      <c r="J5" s="73">
        <f>-PV($C$2,A5,1,,1)</f>
        <v>1.0000000000000009</v>
      </c>
      <c r="K5" s="73">
        <f>J5^2</f>
        <v>1.0000000000000018</v>
      </c>
      <c r="L5" s="34">
        <f>E5</f>
        <v>1.0300000000000001E-3</v>
      </c>
      <c r="M5" s="34">
        <f>J5*L5</f>
        <v>1.030000000000001E-3</v>
      </c>
      <c r="N5" s="34">
        <f>K5*L5</f>
        <v>1.0300000000000018E-3</v>
      </c>
      <c r="P5">
        <v>20</v>
      </c>
      <c r="Q5" s="76">
        <f>(1-I5/1000)/($C$2/(1+$C$2))</f>
        <v>12.952272177535075</v>
      </c>
      <c r="R5" s="77">
        <f>SUM(H4:H23)</f>
        <v>12.952272177535066</v>
      </c>
      <c r="S5" s="78">
        <f>SUM(M5:M24)+J24*G24</f>
        <v>12.952272177535074</v>
      </c>
      <c r="V5" s="75">
        <f>(Z6-Z5^2)/(C2/(1+C2))^2</f>
        <v>0.93112032427235492</v>
      </c>
      <c r="W5" s="75">
        <f>Z10-Z9^2</f>
        <v>0.93112032427237068</v>
      </c>
      <c r="Y5" t="s">
        <v>136</v>
      </c>
      <c r="Z5">
        <v>0.38322513440309169</v>
      </c>
      <c r="AB5">
        <v>0.38322513440309169</v>
      </c>
      <c r="AC5">
        <v>0.1489728875935338</v>
      </c>
    </row>
    <row r="6" spans="1:29" x14ac:dyDescent="0.2">
      <c r="A6">
        <v>2</v>
      </c>
      <c r="B6">
        <v>21</v>
      </c>
      <c r="C6">
        <f t="shared" ref="C6:C69" si="1">(1/(1+$C$2))^A6</f>
        <v>0.90702947845804982</v>
      </c>
      <c r="D6">
        <f t="shared" ref="D6:D69" si="2">C6^2</f>
        <v>0.82270247479188185</v>
      </c>
      <c r="E6">
        <v>1.06E-3</v>
      </c>
      <c r="F6">
        <f t="shared" si="0"/>
        <v>0.99894000000000005</v>
      </c>
      <c r="G6" s="34">
        <f t="shared" ref="G6:G37" si="3">F6*G5</f>
        <v>0.99791109180000004</v>
      </c>
      <c r="H6" s="72">
        <f t="shared" ref="H6:H69" si="4">C6*G6</f>
        <v>0.90513477714285706</v>
      </c>
      <c r="I6" s="72">
        <v>383.5038354132729</v>
      </c>
      <c r="J6" s="73">
        <f t="shared" ref="J6:J69" si="5">-PV($C$2,A6,1,,1)</f>
        <v>1.952380952380953</v>
      </c>
      <c r="K6" s="73">
        <f t="shared" ref="K6:K69" si="6">J6^2</f>
        <v>3.811791383219957</v>
      </c>
      <c r="L6" s="34">
        <f>G5*E6</f>
        <v>1.0589082E-3</v>
      </c>
      <c r="M6" s="34">
        <f t="shared" ref="M6:M69" si="7">J6*L6</f>
        <v>2.0673922000000004E-3</v>
      </c>
      <c r="N6" s="34">
        <f t="shared" ref="N6:N69" si="8">K6*L6</f>
        <v>4.0363371523809552E-3</v>
      </c>
      <c r="O6" s="34"/>
      <c r="Y6" t="s">
        <v>137</v>
      </c>
      <c r="Z6">
        <v>0.1489728875935338</v>
      </c>
    </row>
    <row r="7" spans="1:29" x14ac:dyDescent="0.2">
      <c r="A7">
        <v>3</v>
      </c>
      <c r="B7">
        <v>22</v>
      </c>
      <c r="C7">
        <f t="shared" si="1"/>
        <v>0.86383759853147601</v>
      </c>
      <c r="D7">
        <f t="shared" si="2"/>
        <v>0.7462153966366275</v>
      </c>
      <c r="E7">
        <v>1.1000000000000001E-3</v>
      </c>
      <c r="F7">
        <f t="shared" si="0"/>
        <v>0.99890000000000001</v>
      </c>
      <c r="G7" s="34">
        <f t="shared" si="3"/>
        <v>0.99681338959901999</v>
      </c>
      <c r="H7" s="72">
        <f t="shared" si="4"/>
        <v>0.86108488465523803</v>
      </c>
      <c r="I7" s="72">
        <v>383.81026757041604</v>
      </c>
      <c r="J7" s="73">
        <f t="shared" si="5"/>
        <v>2.8594104308390045</v>
      </c>
      <c r="K7" s="73">
        <f t="shared" si="6"/>
        <v>8.1762280119909008</v>
      </c>
      <c r="L7" s="34">
        <f t="shared" ref="L7:L70" si="9">G6*E7</f>
        <v>1.0977022009800001E-3</v>
      </c>
      <c r="M7" s="34">
        <f t="shared" si="7"/>
        <v>3.1387811234371457E-3</v>
      </c>
      <c r="N7" s="34">
        <f t="shared" si="8"/>
        <v>8.9750634844767418E-3</v>
      </c>
      <c r="O7" s="34"/>
    </row>
    <row r="8" spans="1:29" x14ac:dyDescent="0.2">
      <c r="A8">
        <v>4</v>
      </c>
      <c r="B8">
        <v>23</v>
      </c>
      <c r="C8">
        <f t="shared" si="1"/>
        <v>0.82270247479188185</v>
      </c>
      <c r="D8">
        <f t="shared" si="2"/>
        <v>0.676839362028687</v>
      </c>
      <c r="E8">
        <v>1.1299999999999999E-3</v>
      </c>
      <c r="F8">
        <f t="shared" si="0"/>
        <v>0.99887000000000004</v>
      </c>
      <c r="G8" s="34">
        <f t="shared" si="3"/>
        <v>0.99568699046877318</v>
      </c>
      <c r="H8" s="72">
        <f t="shared" si="4"/>
        <v>0.81915415117674062</v>
      </c>
      <c r="I8" s="72">
        <v>384.14275053822291</v>
      </c>
      <c r="J8" s="73">
        <f t="shared" si="5"/>
        <v>3.7232480293704784</v>
      </c>
      <c r="K8" s="73">
        <f t="shared" si="6"/>
        <v>13.86257588821115</v>
      </c>
      <c r="L8" s="34">
        <f t="shared" si="9"/>
        <v>1.1263991302468924E-3</v>
      </c>
      <c r="M8" s="34">
        <f t="shared" si="7"/>
        <v>4.193863341976363E-3</v>
      </c>
      <c r="N8" s="34">
        <f t="shared" si="8"/>
        <v>1.5614793423462583E-2</v>
      </c>
      <c r="O8" s="34"/>
    </row>
    <row r="9" spans="1:29" x14ac:dyDescent="0.2">
      <c r="A9">
        <v>5</v>
      </c>
      <c r="B9">
        <v>24</v>
      </c>
      <c r="C9">
        <f t="shared" si="1"/>
        <v>0.78352616646845885</v>
      </c>
      <c r="D9">
        <f t="shared" si="2"/>
        <v>0.6139132535407591</v>
      </c>
      <c r="E9">
        <v>1.1799999999999998E-3</v>
      </c>
      <c r="F9">
        <f t="shared" si="0"/>
        <v>0.99882000000000004</v>
      </c>
      <c r="G9" s="34">
        <f t="shared" si="3"/>
        <v>0.9945120798200201</v>
      </c>
      <c r="H9" s="72">
        <f t="shared" si="4"/>
        <v>0.77922623740795427</v>
      </c>
      <c r="I9" s="72">
        <v>384.51202048900154</v>
      </c>
      <c r="J9" s="73">
        <f t="shared" si="5"/>
        <v>4.545950504162362</v>
      </c>
      <c r="K9" s="73">
        <f t="shared" si="6"/>
        <v>20.665665986294034</v>
      </c>
      <c r="L9" s="34">
        <f t="shared" si="9"/>
        <v>1.1749106487531523E-3</v>
      </c>
      <c r="M9" s="34">
        <f t="shared" si="7"/>
        <v>5.3410856560451208E-3</v>
      </c>
      <c r="N9" s="34">
        <f t="shared" si="8"/>
        <v>2.4280311030872675E-2</v>
      </c>
      <c r="O9" s="34"/>
      <c r="Y9" s="74" t="s">
        <v>128</v>
      </c>
      <c r="Z9" s="34">
        <f>SUM(M5:M24)+J24*G24</f>
        <v>12.952272177535074</v>
      </c>
    </row>
    <row r="10" spans="1:29" x14ac:dyDescent="0.2">
      <c r="A10">
        <v>6</v>
      </c>
      <c r="B10">
        <v>25</v>
      </c>
      <c r="C10">
        <f t="shared" si="1"/>
        <v>0.7462153966366275</v>
      </c>
      <c r="D10">
        <f t="shared" si="2"/>
        <v>0.55683741817755927</v>
      </c>
      <c r="E10">
        <v>1.2199999999999999E-3</v>
      </c>
      <c r="F10">
        <f t="shared" si="0"/>
        <v>0.99878</v>
      </c>
      <c r="G10" s="34">
        <f t="shared" si="3"/>
        <v>0.99329877508263964</v>
      </c>
      <c r="H10" s="72">
        <f t="shared" si="4"/>
        <v>0.7412148394269682</v>
      </c>
      <c r="I10" s="72">
        <v>384.9114070909543</v>
      </c>
      <c r="J10" s="73">
        <f t="shared" si="5"/>
        <v>5.329476670630819</v>
      </c>
      <c r="K10" s="73">
        <f t="shared" si="6"/>
        <v>28.40332158279816</v>
      </c>
      <c r="L10" s="34">
        <f t="shared" si="9"/>
        <v>1.2133047373804244E-3</v>
      </c>
      <c r="M10" s="34">
        <f t="shared" si="7"/>
        <v>6.4662792922348241E-3</v>
      </c>
      <c r="N10" s="34">
        <f t="shared" si="8"/>
        <v>3.4461884633748663E-2</v>
      </c>
      <c r="O10" s="34"/>
      <c r="V10" s="74"/>
      <c r="W10" s="34"/>
      <c r="Y10" s="74" t="s">
        <v>129</v>
      </c>
      <c r="Z10" s="34">
        <f>SUM(N5:N24)+K24*G24</f>
        <v>168.69247488522151</v>
      </c>
    </row>
    <row r="11" spans="1:29" x14ac:dyDescent="0.2">
      <c r="A11">
        <v>7</v>
      </c>
      <c r="B11">
        <v>26</v>
      </c>
      <c r="C11">
        <f t="shared" si="1"/>
        <v>0.71068133013012136</v>
      </c>
      <c r="D11">
        <f t="shared" si="2"/>
        <v>0.50506795299551854</v>
      </c>
      <c r="E11">
        <v>1.2700000000000001E-3</v>
      </c>
      <c r="F11">
        <f t="shared" si="0"/>
        <v>0.99873000000000001</v>
      </c>
      <c r="G11" s="34">
        <f t="shared" si="3"/>
        <v>0.99203728563828475</v>
      </c>
      <c r="H11" s="72">
        <f t="shared" si="4"/>
        <v>0.70502237769609133</v>
      </c>
      <c r="I11" s="72">
        <v>385.35254580632733</v>
      </c>
      <c r="J11" s="73">
        <f t="shared" si="5"/>
        <v>6.0756920672674504</v>
      </c>
      <c r="K11" s="73">
        <f t="shared" si="6"/>
        <v>36.914034096256621</v>
      </c>
      <c r="L11" s="34">
        <f t="shared" si="9"/>
        <v>1.2614894443549523E-3</v>
      </c>
      <c r="M11" s="34">
        <f t="shared" si="7"/>
        <v>7.6644214100090079E-3</v>
      </c>
      <c r="N11" s="34">
        <f t="shared" si="8"/>
        <v>4.6566664360986533E-2</v>
      </c>
      <c r="O11" s="34"/>
      <c r="V11" s="74"/>
      <c r="W11" s="34"/>
    </row>
    <row r="12" spans="1:29" x14ac:dyDescent="0.2">
      <c r="A12">
        <v>8</v>
      </c>
      <c r="B12">
        <v>27</v>
      </c>
      <c r="C12">
        <f t="shared" si="1"/>
        <v>0.676839362028687</v>
      </c>
      <c r="D12">
        <f t="shared" si="2"/>
        <v>0.45811152199140004</v>
      </c>
      <c r="E12">
        <v>1.33E-3</v>
      </c>
      <c r="F12">
        <f t="shared" si="0"/>
        <v>0.99866999999999995</v>
      </c>
      <c r="G12" s="34">
        <f t="shared" si="3"/>
        <v>0.99071787604838579</v>
      </c>
      <c r="H12" s="72">
        <f t="shared" si="4"/>
        <v>0.6705568551750053</v>
      </c>
      <c r="I12" s="72">
        <v>385.83587590428289</v>
      </c>
      <c r="J12" s="73">
        <f t="shared" si="5"/>
        <v>6.7863733973975693</v>
      </c>
      <c r="K12" s="73">
        <f t="shared" si="6"/>
        <v>46.05486388890543</v>
      </c>
      <c r="L12" s="34">
        <f t="shared" si="9"/>
        <v>1.3194095898989187E-3</v>
      </c>
      <c r="M12" s="34">
        <f t="shared" si="7"/>
        <v>8.9540061411612585E-3</v>
      </c>
      <c r="N12" s="34">
        <f t="shared" si="8"/>
        <v>6.0765229076511232E-2</v>
      </c>
      <c r="O12" s="34"/>
    </row>
    <row r="13" spans="1:29" x14ac:dyDescent="0.2">
      <c r="A13">
        <v>9</v>
      </c>
      <c r="B13">
        <v>28</v>
      </c>
      <c r="C13">
        <f t="shared" si="1"/>
        <v>0.64460891621779715</v>
      </c>
      <c r="D13">
        <f t="shared" si="2"/>
        <v>0.41552065486748302</v>
      </c>
      <c r="E13">
        <v>1.39E-3</v>
      </c>
      <c r="F13">
        <f t="shared" si="0"/>
        <v>0.99861</v>
      </c>
      <c r="G13" s="34">
        <f t="shared" si="3"/>
        <v>0.98934077820067856</v>
      </c>
      <c r="H13" s="72">
        <f t="shared" si="4"/>
        <v>0.6377378868060114</v>
      </c>
      <c r="I13" s="72">
        <v>386.36202513621009</v>
      </c>
      <c r="J13" s="73">
        <f t="shared" si="5"/>
        <v>7.4632127594262574</v>
      </c>
      <c r="K13" s="73">
        <f t="shared" si="6"/>
        <v>55.699544692462894</v>
      </c>
      <c r="L13" s="34">
        <f t="shared" si="9"/>
        <v>1.3770978477072563E-3</v>
      </c>
      <c r="M13" s="34">
        <f t="shared" si="7"/>
        <v>1.0277574227987233E-2</v>
      </c>
      <c r="N13" s="34">
        <f t="shared" si="8"/>
        <v>7.670372311426478E-2</v>
      </c>
      <c r="O13" s="34"/>
    </row>
    <row r="14" spans="1:29" x14ac:dyDescent="0.2">
      <c r="A14">
        <v>10</v>
      </c>
      <c r="B14">
        <v>29</v>
      </c>
      <c r="C14">
        <f t="shared" si="1"/>
        <v>0.6139132535407591</v>
      </c>
      <c r="D14">
        <f t="shared" si="2"/>
        <v>0.37688948287300034</v>
      </c>
      <c r="E14">
        <v>1.4599999999999999E-3</v>
      </c>
      <c r="F14">
        <f t="shared" si="0"/>
        <v>0.99853999999999998</v>
      </c>
      <c r="G14" s="34">
        <f t="shared" si="3"/>
        <v>0.9878963406645056</v>
      </c>
      <c r="H14" s="72">
        <f t="shared" si="4"/>
        <v>0.60648265665835677</v>
      </c>
      <c r="I14" s="72">
        <v>386.93831605322396</v>
      </c>
      <c r="J14" s="73">
        <f t="shared" si="5"/>
        <v>8.107821675644054</v>
      </c>
      <c r="K14" s="73">
        <f t="shared" si="6"/>
        <v>65.736772324043557</v>
      </c>
      <c r="L14" s="34">
        <f t="shared" si="9"/>
        <v>1.4444375361729906E-3</v>
      </c>
      <c r="M14" s="34">
        <f t="shared" si="7"/>
        <v>1.1711241964897265E-2</v>
      </c>
      <c r="N14" s="34">
        <f t="shared" si="8"/>
        <v>9.4952661451706305E-2</v>
      </c>
      <c r="O14" s="34"/>
    </row>
    <row r="15" spans="1:29" x14ac:dyDescent="0.2">
      <c r="A15">
        <v>11</v>
      </c>
      <c r="B15">
        <v>30</v>
      </c>
      <c r="C15">
        <f t="shared" si="1"/>
        <v>0.58467928908643729</v>
      </c>
      <c r="D15">
        <f t="shared" si="2"/>
        <v>0.34184987108662174</v>
      </c>
      <c r="E15">
        <v>1.5300000000000001E-3</v>
      </c>
      <c r="F15">
        <f t="shared" si="0"/>
        <v>0.99846999999999997</v>
      </c>
      <c r="G15" s="34">
        <f t="shared" si="3"/>
        <v>0.98638485926328889</v>
      </c>
      <c r="H15" s="72">
        <f t="shared" si="4"/>
        <v>0.5767187982796852</v>
      </c>
      <c r="I15" s="72">
        <v>387.56681293244185</v>
      </c>
      <c r="J15" s="73">
        <f t="shared" si="5"/>
        <v>8.7217349291848159</v>
      </c>
      <c r="K15" s="73">
        <f t="shared" si="6"/>
        <v>76.06866017496246</v>
      </c>
      <c r="L15" s="34">
        <f t="shared" si="9"/>
        <v>1.5114814012166936E-3</v>
      </c>
      <c r="M15" s="34">
        <f t="shared" si="7"/>
        <v>1.3182740131804845E-2</v>
      </c>
      <c r="N15" s="34">
        <f t="shared" si="8"/>
        <v>0.11497636506992875</v>
      </c>
      <c r="O15" s="34"/>
    </row>
    <row r="16" spans="1:29" x14ac:dyDescent="0.2">
      <c r="A16">
        <v>12</v>
      </c>
      <c r="B16">
        <v>31</v>
      </c>
      <c r="C16">
        <f t="shared" si="1"/>
        <v>0.55683741817755927</v>
      </c>
      <c r="D16">
        <f t="shared" si="2"/>
        <v>0.31006791028265002</v>
      </c>
      <c r="E16">
        <v>1.6100000000000001E-3</v>
      </c>
      <c r="F16">
        <f t="shared" si="0"/>
        <v>0.99839</v>
      </c>
      <c r="G16" s="34">
        <f t="shared" si="3"/>
        <v>0.984796779639875</v>
      </c>
      <c r="H16" s="72">
        <f t="shared" si="4"/>
        <v>0.54837169620424275</v>
      </c>
      <c r="I16" s="72">
        <v>388.25632059103981</v>
      </c>
      <c r="J16" s="73">
        <f t="shared" si="5"/>
        <v>9.3064142182712501</v>
      </c>
      <c r="K16" s="73">
        <f t="shared" si="6"/>
        <v>86.609345602041287</v>
      </c>
      <c r="L16" s="34">
        <f t="shared" si="9"/>
        <v>1.5880796234138952E-3</v>
      </c>
      <c r="M16" s="34">
        <f t="shared" si="7"/>
        <v>1.4779326787085927E-2</v>
      </c>
      <c r="N16" s="34">
        <f t="shared" si="8"/>
        <v>0.13754253694781363</v>
      </c>
      <c r="O16" s="34"/>
    </row>
    <row r="17" spans="1:15" x14ac:dyDescent="0.2">
      <c r="A17">
        <v>13</v>
      </c>
      <c r="B17">
        <v>32</v>
      </c>
      <c r="C17">
        <f t="shared" si="1"/>
        <v>0.53032135064529451</v>
      </c>
      <c r="D17">
        <f t="shared" si="2"/>
        <v>0.28124073495024943</v>
      </c>
      <c r="E17">
        <v>1.6999999999999999E-3</v>
      </c>
      <c r="F17">
        <f t="shared" si="0"/>
        <v>0.99829999999999997</v>
      </c>
      <c r="G17" s="34">
        <f t="shared" si="3"/>
        <v>0.98312262511448723</v>
      </c>
      <c r="H17" s="72">
        <f t="shared" si="4"/>
        <v>0.52137091840066241</v>
      </c>
      <c r="I17" s="72">
        <v>389.01063308275997</v>
      </c>
      <c r="J17" s="73">
        <f t="shared" si="5"/>
        <v>9.8632516364488119</v>
      </c>
      <c r="K17" s="73">
        <f t="shared" si="6"/>
        <v>97.283732843910158</v>
      </c>
      <c r="L17" s="34">
        <f t="shared" si="9"/>
        <v>1.6741545253877875E-3</v>
      </c>
      <c r="M17" s="34">
        <f t="shared" si="7"/>
        <v>1.651260736219928E-2</v>
      </c>
      <c r="N17" s="34">
        <f t="shared" si="8"/>
        <v>0.16286800158724873</v>
      </c>
      <c r="O17" s="34"/>
    </row>
    <row r="18" spans="1:15" x14ac:dyDescent="0.2">
      <c r="A18">
        <v>14</v>
      </c>
      <c r="B18">
        <v>33</v>
      </c>
      <c r="C18">
        <f t="shared" si="1"/>
        <v>0.50506795299551854</v>
      </c>
      <c r="D18">
        <f t="shared" si="2"/>
        <v>0.25509363714308331</v>
      </c>
      <c r="E18">
        <v>1.7900000000000001E-3</v>
      </c>
      <c r="F18">
        <f t="shared" si="0"/>
        <v>0.99821000000000004</v>
      </c>
      <c r="G18" s="34">
        <f t="shared" si="3"/>
        <v>0.98136283561553228</v>
      </c>
      <c r="H18" s="72">
        <f t="shared" si="4"/>
        <v>0.49565491853021443</v>
      </c>
      <c r="I18" s="72">
        <v>389.83422519812621</v>
      </c>
      <c r="J18" s="73">
        <f t="shared" si="5"/>
        <v>10.393572987094103</v>
      </c>
      <c r="K18" s="73">
        <f t="shared" si="6"/>
        <v>108.02635943805224</v>
      </c>
      <c r="L18" s="34">
        <f t="shared" si="9"/>
        <v>1.7597894989549324E-3</v>
      </c>
      <c r="M18" s="34">
        <f t="shared" si="7"/>
        <v>1.8290500599309853E-2</v>
      </c>
      <c r="N18" s="34">
        <f t="shared" si="8"/>
        <v>0.19010365294941539</v>
      </c>
      <c r="O18" s="34"/>
    </row>
    <row r="19" spans="1:15" x14ac:dyDescent="0.2">
      <c r="A19">
        <v>15</v>
      </c>
      <c r="B19">
        <v>34</v>
      </c>
      <c r="C19">
        <f t="shared" si="1"/>
        <v>0.48101709809097004</v>
      </c>
      <c r="D19">
        <f t="shared" si="2"/>
        <v>0.23137744865585788</v>
      </c>
      <c r="E19">
        <v>1.9E-3</v>
      </c>
      <c r="F19">
        <f t="shared" si="0"/>
        <v>0.99809999999999999</v>
      </c>
      <c r="G19" s="34">
        <f t="shared" si="3"/>
        <v>0.97949824622786275</v>
      </c>
      <c r="H19" s="72">
        <f t="shared" si="4"/>
        <v>0.47115540398572098</v>
      </c>
      <c r="I19" s="72">
        <v>390.73855610213542</v>
      </c>
      <c r="J19" s="73">
        <f t="shared" si="5"/>
        <v>10.898640940089628</v>
      </c>
      <c r="K19" s="73">
        <f t="shared" si="6"/>
        <v>118.78037434099772</v>
      </c>
      <c r="L19" s="34">
        <f t="shared" si="9"/>
        <v>1.8645893876695113E-3</v>
      </c>
      <c r="M19" s="34">
        <f t="shared" si="7"/>
        <v>2.0321490236911585E-2</v>
      </c>
      <c r="N19" s="34">
        <f t="shared" si="8"/>
        <v>0.22147662545963628</v>
      </c>
      <c r="O19" s="34"/>
    </row>
    <row r="20" spans="1:15" x14ac:dyDescent="0.2">
      <c r="A20">
        <v>16</v>
      </c>
      <c r="B20">
        <v>35</v>
      </c>
      <c r="C20">
        <f t="shared" si="1"/>
        <v>0.45811152199140004</v>
      </c>
      <c r="D20">
        <f t="shared" si="2"/>
        <v>0.20986616658127699</v>
      </c>
      <c r="E20">
        <v>2.0099999999999996E-3</v>
      </c>
      <c r="F20">
        <f t="shared" si="0"/>
        <v>0.99799000000000004</v>
      </c>
      <c r="G20" s="34">
        <f t="shared" si="3"/>
        <v>0.97752945475294484</v>
      </c>
      <c r="H20" s="72">
        <f t="shared" si="4"/>
        <v>0.44781750630829498</v>
      </c>
      <c r="I20" s="72">
        <v>391.72444613309233</v>
      </c>
      <c r="J20" s="73">
        <f t="shared" si="5"/>
        <v>11.379658038180597</v>
      </c>
      <c r="K20" s="73">
        <f t="shared" si="6"/>
        <v>129.49661706592829</v>
      </c>
      <c r="L20" s="34">
        <f t="shared" si="9"/>
        <v>1.9687914749180039E-3</v>
      </c>
      <c r="M20" s="34">
        <f t="shared" si="7"/>
        <v>2.2404173733052098E-2</v>
      </c>
      <c r="N20" s="34">
        <f t="shared" si="8"/>
        <v>0.25495183571012092</v>
      </c>
      <c r="O20" s="34"/>
    </row>
    <row r="21" spans="1:15" x14ac:dyDescent="0.2">
      <c r="A21">
        <v>17</v>
      </c>
      <c r="B21">
        <v>36</v>
      </c>
      <c r="C21">
        <f t="shared" si="1"/>
        <v>0.43629668761085716</v>
      </c>
      <c r="D21">
        <f t="shared" si="2"/>
        <v>0.19035479962020588</v>
      </c>
      <c r="E21">
        <v>2.14E-3</v>
      </c>
      <c r="F21">
        <f t="shared" si="0"/>
        <v>0.99785999999999997</v>
      </c>
      <c r="G21" s="34">
        <f t="shared" si="3"/>
        <v>0.97543754171977348</v>
      </c>
      <c r="H21" s="72">
        <f t="shared" si="4"/>
        <v>0.42558016842361446</v>
      </c>
      <c r="I21" s="72">
        <v>392.80538928542103</v>
      </c>
      <c r="J21" s="73">
        <f t="shared" si="5"/>
        <v>11.837769560171997</v>
      </c>
      <c r="K21" s="73">
        <f t="shared" si="6"/>
        <v>140.13278815973473</v>
      </c>
      <c r="L21" s="34">
        <f t="shared" si="9"/>
        <v>2.091913033171302E-3</v>
      </c>
      <c r="M21" s="34">
        <f t="shared" si="7"/>
        <v>2.4763584426602314E-2</v>
      </c>
      <c r="N21" s="34">
        <f t="shared" si="8"/>
        <v>0.29314560592598221</v>
      </c>
      <c r="O21" s="34"/>
    </row>
    <row r="22" spans="1:15" x14ac:dyDescent="0.2">
      <c r="A22">
        <v>18</v>
      </c>
      <c r="B22">
        <v>37</v>
      </c>
      <c r="C22">
        <f t="shared" si="1"/>
        <v>0.41552065486748302</v>
      </c>
      <c r="D22">
        <f t="shared" si="2"/>
        <v>0.17265741462150194</v>
      </c>
      <c r="E22">
        <v>2.2799999999999999E-3</v>
      </c>
      <c r="F22">
        <f t="shared" si="0"/>
        <v>0.99772000000000005</v>
      </c>
      <c r="G22" s="34">
        <f t="shared" si="3"/>
        <v>0.97321354412465244</v>
      </c>
      <c r="H22" s="72">
        <f t="shared" si="4"/>
        <v>0.40439032918057966</v>
      </c>
      <c r="I22" s="72">
        <v>393.98433867926173</v>
      </c>
      <c r="J22" s="73">
        <f t="shared" si="5"/>
        <v>12.274066247782853</v>
      </c>
      <c r="K22" s="73">
        <f t="shared" si="6"/>
        <v>150.65270225496226</v>
      </c>
      <c r="L22" s="34">
        <f t="shared" si="9"/>
        <v>2.2239975951210836E-3</v>
      </c>
      <c r="M22" s="34">
        <f t="shared" si="7"/>
        <v>2.7297493817425928E-2</v>
      </c>
      <c r="N22" s="34">
        <f t="shared" si="8"/>
        <v>0.33505124751352872</v>
      </c>
      <c r="O22" s="34"/>
    </row>
    <row r="23" spans="1:15" x14ac:dyDescent="0.2">
      <c r="A23">
        <v>19</v>
      </c>
      <c r="B23">
        <v>38</v>
      </c>
      <c r="C23">
        <f t="shared" si="1"/>
        <v>0.39573395701665048</v>
      </c>
      <c r="D23">
        <f t="shared" si="2"/>
        <v>0.15660536473605619</v>
      </c>
      <c r="E23">
        <v>2.4300000000000003E-3</v>
      </c>
      <c r="F23">
        <f t="shared" si="0"/>
        <v>0.99756999999999996</v>
      </c>
      <c r="G23" s="34">
        <f t="shared" si="3"/>
        <v>0.97084863521242948</v>
      </c>
      <c r="H23" s="72">
        <f t="shared" si="4"/>
        <v>0.38419777207682937</v>
      </c>
      <c r="I23" s="72">
        <v>395.27122902784424</v>
      </c>
      <c r="J23" s="73">
        <f t="shared" si="5"/>
        <v>12.689586902650337</v>
      </c>
      <c r="K23" s="73">
        <f t="shared" si="6"/>
        <v>161.02561575991498</v>
      </c>
      <c r="L23" s="34">
        <f t="shared" si="9"/>
        <v>2.3649089122229059E-3</v>
      </c>
      <c r="M23" s="34">
        <f t="shared" si="7"/>
        <v>3.0009717158504843E-2</v>
      </c>
      <c r="N23" s="34">
        <f t="shared" si="8"/>
        <v>0.38081091380680415</v>
      </c>
      <c r="O23" s="34"/>
    </row>
    <row r="24" spans="1:15" x14ac:dyDescent="0.2">
      <c r="A24">
        <v>20</v>
      </c>
      <c r="B24">
        <v>39</v>
      </c>
      <c r="C24">
        <f t="shared" si="1"/>
        <v>0.37688948287300045</v>
      </c>
      <c r="D24">
        <f t="shared" si="2"/>
        <v>0.1420456823002777</v>
      </c>
      <c r="E24">
        <v>2.5999999999999999E-3</v>
      </c>
      <c r="F24">
        <f t="shared" si="0"/>
        <v>0.99739999999999995</v>
      </c>
      <c r="G24" s="34">
        <f t="shared" si="3"/>
        <v>0.9683244287608771</v>
      </c>
      <c r="H24" s="72">
        <f t="shared" si="4"/>
        <v>0.36495129320898051</v>
      </c>
      <c r="I24" s="72">
        <v>396.67755635524742</v>
      </c>
      <c r="J24" s="73">
        <f t="shared" si="5"/>
        <v>13.085320859666988</v>
      </c>
      <c r="K24" s="73">
        <f t="shared" si="6"/>
        <v>171.225622000436</v>
      </c>
      <c r="L24" s="34">
        <f t="shared" si="9"/>
        <v>2.5242064515523166E-3</v>
      </c>
      <c r="M24" s="34">
        <f t="shared" si="7"/>
        <v>3.3030051334603516E-2</v>
      </c>
      <c r="N24" s="34">
        <f t="shared" si="8"/>
        <v>0.43220881972455882</v>
      </c>
      <c r="O24" s="34"/>
    </row>
    <row r="25" spans="1:15" x14ac:dyDescent="0.2">
      <c r="A25">
        <v>21</v>
      </c>
      <c r="B25">
        <v>40</v>
      </c>
      <c r="C25">
        <f t="shared" si="1"/>
        <v>0.35894236464095275</v>
      </c>
      <c r="D25">
        <f t="shared" si="2"/>
        <v>0.12883962113403868</v>
      </c>
      <c r="E25">
        <v>2.7799999999999999E-3</v>
      </c>
      <c r="F25">
        <f t="shared" si="0"/>
        <v>0.99722</v>
      </c>
      <c r="G25" s="34">
        <f t="shared" si="3"/>
        <v>0.96563248684892189</v>
      </c>
      <c r="H25" s="72">
        <f t="shared" si="4"/>
        <v>0.34660640820367572</v>
      </c>
      <c r="I25" s="72">
        <v>398.21055162201594</v>
      </c>
      <c r="J25" s="73">
        <f t="shared" si="5"/>
        <v>13.46221034253999</v>
      </c>
      <c r="K25" s="73">
        <f t="shared" si="6"/>
        <v>181.23110730679068</v>
      </c>
      <c r="L25" s="34">
        <f t="shared" si="9"/>
        <v>2.6919419119552381E-3</v>
      </c>
      <c r="M25" s="34">
        <f t="shared" si="7"/>
        <v>3.6239488248640685E-2</v>
      </c>
      <c r="N25" s="34">
        <f t="shared" si="8"/>
        <v>0.48786361350920704</v>
      </c>
      <c r="O25" s="34"/>
    </row>
    <row r="26" spans="1:15" x14ac:dyDescent="0.2">
      <c r="A26">
        <v>22</v>
      </c>
      <c r="B26">
        <v>41</v>
      </c>
      <c r="C26">
        <f t="shared" si="1"/>
        <v>0.34184987108662168</v>
      </c>
      <c r="D26">
        <f t="shared" si="2"/>
        <v>0.11686133436193986</v>
      </c>
      <c r="E26">
        <v>2.98E-3</v>
      </c>
      <c r="F26">
        <f t="shared" si="0"/>
        <v>0.99702000000000002</v>
      </c>
      <c r="G26" s="34">
        <f t="shared" si="3"/>
        <v>0.96275490203811209</v>
      </c>
      <c r="H26" s="72">
        <f t="shared" si="4"/>
        <v>0.32911763914974168</v>
      </c>
      <c r="I26" s="72">
        <v>399.88466275366318</v>
      </c>
      <c r="J26" s="73">
        <f t="shared" si="5"/>
        <v>13.821152707180941</v>
      </c>
      <c r="K26" s="73">
        <f t="shared" si="6"/>
        <v>191.02426215521504</v>
      </c>
      <c r="L26" s="34">
        <f t="shared" si="9"/>
        <v>2.8775848108097872E-3</v>
      </c>
      <c r="M26" s="34">
        <f t="shared" si="7"/>
        <v>3.9771539098066445E-2</v>
      </c>
      <c r="N26" s="34">
        <f t="shared" si="8"/>
        <v>0.54968851527399365</v>
      </c>
      <c r="O26" s="34"/>
    </row>
    <row r="27" spans="1:15" x14ac:dyDescent="0.2">
      <c r="A27">
        <v>23</v>
      </c>
      <c r="B27">
        <v>42</v>
      </c>
      <c r="C27">
        <f t="shared" si="1"/>
        <v>0.32557130579678251</v>
      </c>
      <c r="D27">
        <f t="shared" si="2"/>
        <v>0.10599667515822207</v>
      </c>
      <c r="E27">
        <v>3.2000000000000002E-3</v>
      </c>
      <c r="F27">
        <f t="shared" si="0"/>
        <v>0.99680000000000002</v>
      </c>
      <c r="G27" s="34">
        <f t="shared" si="3"/>
        <v>0.95967408635159013</v>
      </c>
      <c r="H27" s="72">
        <f t="shared" si="4"/>
        <v>0.3124423454328214</v>
      </c>
      <c r="I27" s="72">
        <v>401.7103216710679</v>
      </c>
      <c r="J27" s="73">
        <f t="shared" si="5"/>
        <v>14.163002578267562</v>
      </c>
      <c r="K27" s="73">
        <f t="shared" si="6"/>
        <v>200.59064203201362</v>
      </c>
      <c r="L27" s="34">
        <f t="shared" si="9"/>
        <v>3.0808156865219588E-3</v>
      </c>
      <c r="M27" s="34">
        <f t="shared" si="7"/>
        <v>4.363360051137765E-2</v>
      </c>
      <c r="N27" s="34">
        <f t="shared" si="8"/>
        <v>0.61798279654173849</v>
      </c>
      <c r="O27" s="34"/>
    </row>
    <row r="28" spans="1:15" x14ac:dyDescent="0.2">
      <c r="A28">
        <v>24</v>
      </c>
      <c r="B28">
        <v>43</v>
      </c>
      <c r="C28">
        <f t="shared" si="1"/>
        <v>0.31006791028265002</v>
      </c>
      <c r="D28">
        <f t="shared" si="2"/>
        <v>9.6142108987049502E-2</v>
      </c>
      <c r="E28">
        <v>3.4399999999999999E-3</v>
      </c>
      <c r="F28">
        <f t="shared" si="0"/>
        <v>0.99656</v>
      </c>
      <c r="G28" s="34">
        <f t="shared" si="3"/>
        <v>0.95637280749454068</v>
      </c>
      <c r="H28" s="72">
        <f t="shared" si="4"/>
        <v>0.29654051787098334</v>
      </c>
      <c r="I28" s="72">
        <v>403.69971465674678</v>
      </c>
      <c r="J28" s="73">
        <f t="shared" si="5"/>
        <v>14.488573884064344</v>
      </c>
      <c r="K28" s="73">
        <f t="shared" si="6"/>
        <v>209.91877319399134</v>
      </c>
      <c r="L28" s="34">
        <f t="shared" si="9"/>
        <v>3.30127885704947E-3</v>
      </c>
      <c r="M28" s="34">
        <f t="shared" si="7"/>
        <v>4.7830822632260739E-2</v>
      </c>
      <c r="N28" s="34">
        <f t="shared" si="8"/>
        <v>0.69300040764308668</v>
      </c>
      <c r="O28" s="34"/>
    </row>
    <row r="29" spans="1:15" x14ac:dyDescent="0.2">
      <c r="A29">
        <v>25</v>
      </c>
      <c r="B29">
        <v>44</v>
      </c>
      <c r="C29">
        <f t="shared" si="1"/>
        <v>0.29530277169776192</v>
      </c>
      <c r="D29">
        <f t="shared" si="2"/>
        <v>8.7203726972380505E-2</v>
      </c>
      <c r="E29">
        <v>3.7099999999999998E-3</v>
      </c>
      <c r="F29">
        <f t="shared" si="0"/>
        <v>0.99629000000000001</v>
      </c>
      <c r="G29" s="34">
        <f t="shared" si="3"/>
        <v>0.95282466437873592</v>
      </c>
      <c r="H29" s="72">
        <f t="shared" si="4"/>
        <v>0.28137176433303046</v>
      </c>
      <c r="I29" s="72">
        <v>405.86696283383787</v>
      </c>
      <c r="J29" s="73">
        <f t="shared" si="5"/>
        <v>14.798641794346997</v>
      </c>
      <c r="K29" s="73">
        <f t="shared" si="6"/>
        <v>218.99979895739369</v>
      </c>
      <c r="L29" s="34">
        <f t="shared" si="9"/>
        <v>3.5481431158047457E-3</v>
      </c>
      <c r="M29" s="34">
        <f t="shared" si="7"/>
        <v>5.2507699005872689E-2</v>
      </c>
      <c r="N29" s="34">
        <f t="shared" si="8"/>
        <v>0.77704262903329979</v>
      </c>
      <c r="O29" s="34"/>
    </row>
    <row r="30" spans="1:15" x14ac:dyDescent="0.2">
      <c r="A30">
        <v>26</v>
      </c>
      <c r="B30">
        <v>45</v>
      </c>
      <c r="C30">
        <f t="shared" si="1"/>
        <v>0.28124073495024943</v>
      </c>
      <c r="D30">
        <f t="shared" si="2"/>
        <v>7.9096350995356446E-2</v>
      </c>
      <c r="E30">
        <v>4.0000000000000001E-3</v>
      </c>
      <c r="F30">
        <f t="shared" si="0"/>
        <v>0.996</v>
      </c>
      <c r="G30" s="34">
        <f t="shared" si="3"/>
        <v>0.94901336572122097</v>
      </c>
      <c r="H30" s="72">
        <f t="shared" si="4"/>
        <v>0.26690121645304604</v>
      </c>
      <c r="I30" s="72">
        <v>408.22235563160683</v>
      </c>
      <c r="J30" s="73">
        <f t="shared" si="5"/>
        <v>15.09394456604476</v>
      </c>
      <c r="K30" s="73">
        <f t="shared" si="6"/>
        <v>227.82716256283214</v>
      </c>
      <c r="L30" s="34">
        <f t="shared" si="9"/>
        <v>3.8112986575149438E-3</v>
      </c>
      <c r="M30" s="34">
        <f t="shared" si="7"/>
        <v>5.7527530661171375E-2</v>
      </c>
      <c r="N30" s="34">
        <f t="shared" si="8"/>
        <v>0.86831735882116101</v>
      </c>
      <c r="O30" s="34"/>
    </row>
    <row r="31" spans="1:15" x14ac:dyDescent="0.2">
      <c r="A31">
        <v>27</v>
      </c>
      <c r="B31">
        <v>46</v>
      </c>
      <c r="C31">
        <f t="shared" si="1"/>
        <v>0.26784831900023753</v>
      </c>
      <c r="D31">
        <f t="shared" si="2"/>
        <v>7.1742721991253006E-2</v>
      </c>
      <c r="E31">
        <v>4.3099999999999996E-3</v>
      </c>
      <c r="F31">
        <f t="shared" si="0"/>
        <v>0.99568999999999996</v>
      </c>
      <c r="G31" s="34">
        <f t="shared" si="3"/>
        <v>0.94492311811496243</v>
      </c>
      <c r="H31" s="72">
        <f t="shared" si="4"/>
        <v>0.2530960687715556</v>
      </c>
      <c r="I31" s="72">
        <v>410.78396409740219</v>
      </c>
      <c r="J31" s="73">
        <f t="shared" si="5"/>
        <v>15.375185300995007</v>
      </c>
      <c r="K31" s="73">
        <f t="shared" si="6"/>
        <v>236.39632303993292</v>
      </c>
      <c r="L31" s="34">
        <f t="shared" si="9"/>
        <v>4.0902476062584618E-3</v>
      </c>
      <c r="M31" s="34">
        <f t="shared" si="7"/>
        <v>6.2888314873175116E-2</v>
      </c>
      <c r="N31" s="34">
        <f t="shared" si="8"/>
        <v>0.96691949444238767</v>
      </c>
      <c r="O31" s="34"/>
    </row>
    <row r="32" spans="1:15" x14ac:dyDescent="0.2">
      <c r="A32">
        <v>28</v>
      </c>
      <c r="B32">
        <v>47</v>
      </c>
      <c r="C32">
        <f t="shared" si="1"/>
        <v>0.25509363714308336</v>
      </c>
      <c r="D32">
        <f t="shared" si="2"/>
        <v>6.5072763710887077E-2</v>
      </c>
      <c r="E32">
        <v>4.6600000000000001E-3</v>
      </c>
      <c r="F32">
        <f t="shared" si="0"/>
        <v>0.99534</v>
      </c>
      <c r="G32" s="34">
        <f t="shared" si="3"/>
        <v>0.94051977638454676</v>
      </c>
      <c r="H32" s="72">
        <f t="shared" si="4"/>
        <v>0.23992061056293348</v>
      </c>
      <c r="I32" s="72">
        <v>413.5661756567298</v>
      </c>
      <c r="J32" s="73">
        <f t="shared" si="5"/>
        <v>15.643033619995245</v>
      </c>
      <c r="K32" s="73">
        <f t="shared" si="6"/>
        <v>244.70450083630155</v>
      </c>
      <c r="L32" s="34">
        <f t="shared" si="9"/>
        <v>4.4033417304157252E-3</v>
      </c>
      <c r="M32" s="34">
        <f t="shared" si="7"/>
        <v>6.8881622729221229E-2</v>
      </c>
      <c r="N32" s="34">
        <f t="shared" si="8"/>
        <v>1.0775175401530364</v>
      </c>
      <c r="O32" s="34"/>
    </row>
    <row r="33" spans="1:15" x14ac:dyDescent="0.2">
      <c r="A33">
        <v>29</v>
      </c>
      <c r="B33">
        <v>48</v>
      </c>
      <c r="C33">
        <f t="shared" si="1"/>
        <v>0.2429463210886508</v>
      </c>
      <c r="D33">
        <f t="shared" si="2"/>
        <v>5.9022914930509811E-2</v>
      </c>
      <c r="E33">
        <v>5.0400000000000002E-3</v>
      </c>
      <c r="F33">
        <f t="shared" si="0"/>
        <v>0.99495999999999996</v>
      </c>
      <c r="G33" s="34">
        <f t="shared" si="3"/>
        <v>0.93577955671156865</v>
      </c>
      <c r="H33" s="72">
        <f t="shared" si="4"/>
        <v>0.22734420065304406</v>
      </c>
      <c r="I33" s="72">
        <v>416.59262069903593</v>
      </c>
      <c r="J33" s="73">
        <f t="shared" si="5"/>
        <v>15.898127257138329</v>
      </c>
      <c r="K33" s="73">
        <f t="shared" si="6"/>
        <v>252.75045028416469</v>
      </c>
      <c r="L33" s="34">
        <f t="shared" si="9"/>
        <v>4.7402196729781155E-3</v>
      </c>
      <c r="M33" s="34">
        <f t="shared" si="7"/>
        <v>7.536061558779672E-2</v>
      </c>
      <c r="N33" s="34">
        <f t="shared" si="8"/>
        <v>1.1980926567910746</v>
      </c>
      <c r="O33" s="34"/>
    </row>
    <row r="34" spans="1:15" x14ac:dyDescent="0.2">
      <c r="A34">
        <v>30</v>
      </c>
      <c r="B34">
        <v>49</v>
      </c>
      <c r="C34">
        <f t="shared" si="1"/>
        <v>0.23137744865585788</v>
      </c>
      <c r="D34">
        <f t="shared" si="2"/>
        <v>5.3535523746494153E-2</v>
      </c>
      <c r="E34">
        <v>5.4599999999999996E-3</v>
      </c>
      <c r="F34">
        <f t="shared" si="0"/>
        <v>0.99453999999999998</v>
      </c>
      <c r="G34" s="34">
        <f t="shared" si="3"/>
        <v>0.93067020033192349</v>
      </c>
      <c r="H34" s="72">
        <f t="shared" si="4"/>
        <v>0.21533609649283661</v>
      </c>
      <c r="I34" s="72">
        <v>419.87701092989016</v>
      </c>
      <c r="J34" s="73">
        <f t="shared" si="5"/>
        <v>16.14107357822698</v>
      </c>
      <c r="K34" s="73">
        <f t="shared" si="6"/>
        <v>260.53425625773713</v>
      </c>
      <c r="L34" s="34">
        <f t="shared" si="9"/>
        <v>5.1093563796451641E-3</v>
      </c>
      <c r="M34" s="34">
        <f t="shared" si="7"/>
        <v>8.2470497261236009E-2</v>
      </c>
      <c r="N34" s="34">
        <f t="shared" si="8"/>
        <v>1.3311623643265771</v>
      </c>
      <c r="O34" s="34"/>
    </row>
    <row r="35" spans="1:15" x14ac:dyDescent="0.2">
      <c r="A35">
        <v>31</v>
      </c>
      <c r="B35">
        <v>50</v>
      </c>
      <c r="C35">
        <f t="shared" si="1"/>
        <v>0.22035947491034086</v>
      </c>
      <c r="D35">
        <f t="shared" si="2"/>
        <v>4.8558298182761139E-2</v>
      </c>
      <c r="E35">
        <v>5.9199999999999999E-3</v>
      </c>
      <c r="F35">
        <f t="shared" si="0"/>
        <v>0.99407999999999996</v>
      </c>
      <c r="G35" s="34">
        <f t="shared" si="3"/>
        <v>0.9251606327459585</v>
      </c>
      <c r="H35" s="72">
        <f t="shared" si="4"/>
        <v>0.20386791123961812</v>
      </c>
      <c r="I35" s="72">
        <v>423.43572188953021</v>
      </c>
      <c r="J35" s="73">
        <f t="shared" si="5"/>
        <v>16.372451026882839</v>
      </c>
      <c r="K35" s="73">
        <f t="shared" si="6"/>
        <v>268.05715262767694</v>
      </c>
      <c r="L35" s="34">
        <f t="shared" si="9"/>
        <v>5.5095675859649874E-3</v>
      </c>
      <c r="M35" s="34">
        <f t="shared" si="7"/>
        <v>9.0205125480512863E-2</v>
      </c>
      <c r="N35" s="34">
        <f t="shared" si="8"/>
        <v>1.4768789993035183</v>
      </c>
      <c r="O35" s="34"/>
    </row>
    <row r="36" spans="1:15" x14ac:dyDescent="0.2">
      <c r="A36">
        <v>32</v>
      </c>
      <c r="B36">
        <v>51</v>
      </c>
      <c r="C36">
        <f t="shared" si="1"/>
        <v>0.20986616658127699</v>
      </c>
      <c r="D36">
        <f t="shared" si="2"/>
        <v>4.4043807875520306E-2</v>
      </c>
      <c r="E36">
        <v>6.4200000000000004E-3</v>
      </c>
      <c r="F36">
        <f t="shared" si="0"/>
        <v>0.99358000000000002</v>
      </c>
      <c r="G36" s="34">
        <f t="shared" si="3"/>
        <v>0.91922110148372949</v>
      </c>
      <c r="H36" s="72">
        <f t="shared" si="4"/>
        <v>0.19291340880900928</v>
      </c>
      <c r="I36" s="72">
        <v>427.28779858632743</v>
      </c>
      <c r="J36" s="73">
        <f t="shared" si="5"/>
        <v>16.592810501793178</v>
      </c>
      <c r="K36" s="73">
        <f t="shared" si="6"/>
        <v>275.32136034841795</v>
      </c>
      <c r="L36" s="34">
        <f t="shared" si="9"/>
        <v>5.9395312622290541E-3</v>
      </c>
      <c r="M36" s="34">
        <f t="shared" si="7"/>
        <v>9.8553516703643138E-2</v>
      </c>
      <c r="N36" s="34">
        <f t="shared" si="8"/>
        <v>1.6352798269488591</v>
      </c>
      <c r="O36" s="34"/>
    </row>
    <row r="37" spans="1:15" x14ac:dyDescent="0.2">
      <c r="A37">
        <v>33</v>
      </c>
      <c r="B37">
        <v>52</v>
      </c>
      <c r="C37">
        <f t="shared" si="1"/>
        <v>0.19987253960121618</v>
      </c>
      <c r="D37">
        <f t="shared" si="2"/>
        <v>3.9949032086639726E-2</v>
      </c>
      <c r="E37">
        <v>6.9699999999999996E-3</v>
      </c>
      <c r="F37">
        <f t="shared" si="0"/>
        <v>0.99302999999999997</v>
      </c>
      <c r="G37" s="34">
        <f t="shared" si="3"/>
        <v>0.91281413040638781</v>
      </c>
      <c r="H37" s="72">
        <f t="shared" si="4"/>
        <v>0.18244647842820044</v>
      </c>
      <c r="I37" s="72">
        <v>431.45484819553644</v>
      </c>
      <c r="J37" s="73">
        <f t="shared" si="5"/>
        <v>16.80267666837446</v>
      </c>
      <c r="K37" s="73">
        <f t="shared" si="6"/>
        <v>282.32994322193542</v>
      </c>
      <c r="L37" s="34">
        <f t="shared" si="9"/>
        <v>6.4069710773415941E-3</v>
      </c>
      <c r="M37" s="34">
        <f t="shared" si="7"/>
        <v>0.10765426343619758</v>
      </c>
      <c r="N37" s="34">
        <f t="shared" si="8"/>
        <v>1.8088797804904346</v>
      </c>
      <c r="O37" s="34"/>
    </row>
    <row r="38" spans="1:15" x14ac:dyDescent="0.2">
      <c r="A38">
        <v>34</v>
      </c>
      <c r="B38">
        <v>53</v>
      </c>
      <c r="C38">
        <f t="shared" si="1"/>
        <v>0.19035479962020588</v>
      </c>
      <c r="D38">
        <f t="shared" si="2"/>
        <v>3.6234949738448735E-2</v>
      </c>
      <c r="E38">
        <v>7.5799999999999999E-3</v>
      </c>
      <c r="F38">
        <f t="shared" si="0"/>
        <v>0.99241999999999997</v>
      </c>
      <c r="G38" s="34">
        <f t="shared" ref="G38:G69" si="10">F38*G37</f>
        <v>0.9058949992979074</v>
      </c>
      <c r="H38" s="72">
        <f t="shared" si="4"/>
        <v>0.17244146106829972</v>
      </c>
      <c r="I38" s="72">
        <v>435.95578488883172</v>
      </c>
      <c r="J38" s="73">
        <f t="shared" si="5"/>
        <v>17.002549207975672</v>
      </c>
      <c r="K38" s="73">
        <f t="shared" si="6"/>
        <v>289.08667956963416</v>
      </c>
      <c r="L38" s="34">
        <f t="shared" si="9"/>
        <v>6.9191311084804193E-3</v>
      </c>
      <c r="M38" s="34">
        <f t="shared" si="7"/>
        <v>0.11764286714837359</v>
      </c>
      <c r="N38" s="34">
        <f t="shared" si="8"/>
        <v>2.0002286376575666</v>
      </c>
      <c r="O38" s="34"/>
    </row>
    <row r="39" spans="1:15" x14ac:dyDescent="0.2">
      <c r="A39">
        <v>35</v>
      </c>
      <c r="B39">
        <v>54</v>
      </c>
      <c r="C39">
        <f t="shared" si="1"/>
        <v>0.18129028535257702</v>
      </c>
      <c r="D39">
        <f t="shared" si="2"/>
        <v>3.28661675632188E-2</v>
      </c>
      <c r="E39">
        <v>8.2400000000000008E-3</v>
      </c>
      <c r="F39">
        <f t="shared" si="0"/>
        <v>0.99175999999999997</v>
      </c>
      <c r="G39" s="34">
        <f t="shared" si="10"/>
        <v>0.89843042450369259</v>
      </c>
      <c r="H39" s="72">
        <f t="shared" si="4"/>
        <v>0.16287670802771134</v>
      </c>
      <c r="I39" s="72">
        <v>440.80651598040879</v>
      </c>
      <c r="J39" s="73">
        <f t="shared" si="5"/>
        <v>17.192904007595882</v>
      </c>
      <c r="K39" s="73">
        <f t="shared" si="6"/>
        <v>295.59594821440652</v>
      </c>
      <c r="L39" s="34">
        <f t="shared" si="9"/>
        <v>7.4645747942147581E-3</v>
      </c>
      <c r="M39" s="34">
        <f t="shared" si="7"/>
        <v>0.12833771789445411</v>
      </c>
      <c r="N39" s="34">
        <f t="shared" si="8"/>
        <v>2.2064980643132697</v>
      </c>
      <c r="O39" s="34"/>
    </row>
    <row r="40" spans="1:15" x14ac:dyDescent="0.2">
      <c r="A40">
        <v>36</v>
      </c>
      <c r="B40">
        <v>55</v>
      </c>
      <c r="C40">
        <f t="shared" si="1"/>
        <v>0.17265741462150191</v>
      </c>
      <c r="D40">
        <f t="shared" si="2"/>
        <v>2.9810582823781222E-2</v>
      </c>
      <c r="E40">
        <v>8.9600000000000009E-3</v>
      </c>
      <c r="F40">
        <f t="shared" si="0"/>
        <v>0.99104000000000003</v>
      </c>
      <c r="G40" s="34">
        <f t="shared" si="10"/>
        <v>0.89038048790013957</v>
      </c>
      <c r="H40" s="72">
        <f t="shared" si="4"/>
        <v>0.15373079307026957</v>
      </c>
      <c r="I40" s="72">
        <v>446.03117733756881</v>
      </c>
      <c r="J40" s="73">
        <f t="shared" si="5"/>
        <v>17.374194292948456</v>
      </c>
      <c r="K40" s="73">
        <f t="shared" si="6"/>
        <v>301.86262732912269</v>
      </c>
      <c r="L40" s="34">
        <f t="shared" si="9"/>
        <v>8.0499366035530866E-3</v>
      </c>
      <c r="M40" s="34">
        <f t="shared" si="7"/>
        <v>0.13986116259604892</v>
      </c>
      <c r="N40" s="34">
        <f t="shared" si="8"/>
        <v>2.4299750129814091</v>
      </c>
      <c r="O40" s="34"/>
    </row>
    <row r="41" spans="1:15" x14ac:dyDescent="0.2">
      <c r="A41">
        <v>37</v>
      </c>
      <c r="B41">
        <v>56</v>
      </c>
      <c r="C41">
        <f t="shared" si="1"/>
        <v>0.16443563297285896</v>
      </c>
      <c r="D41">
        <f t="shared" si="2"/>
        <v>2.7039077391184781E-2</v>
      </c>
      <c r="E41">
        <v>9.75E-3</v>
      </c>
      <c r="F41">
        <f t="shared" si="0"/>
        <v>0.99024999999999996</v>
      </c>
      <c r="G41" s="34">
        <f t="shared" si="10"/>
        <v>0.88169927814311322</v>
      </c>
      <c r="H41" s="72">
        <f t="shared" si="4"/>
        <v>0.14498277889317565</v>
      </c>
      <c r="I41" s="72">
        <v>451.65119140010415</v>
      </c>
      <c r="J41" s="73">
        <f t="shared" si="5"/>
        <v>17.54685170756996</v>
      </c>
      <c r="K41" s="73">
        <f t="shared" si="6"/>
        <v>307.89200484745083</v>
      </c>
      <c r="L41" s="34">
        <f t="shared" si="9"/>
        <v>8.6812097570263605E-3</v>
      </c>
      <c r="M41" s="34">
        <f t="shared" si="7"/>
        <v>0.15232790024885098</v>
      </c>
      <c r="N41" s="34">
        <f t="shared" si="8"/>
        <v>2.6728750765920979</v>
      </c>
      <c r="O41" s="34"/>
    </row>
    <row r="42" spans="1:15" x14ac:dyDescent="0.2">
      <c r="A42">
        <v>38</v>
      </c>
      <c r="B42">
        <v>57</v>
      </c>
      <c r="C42">
        <f t="shared" si="1"/>
        <v>0.15660536473605616</v>
      </c>
      <c r="D42">
        <f t="shared" si="2"/>
        <v>2.4525240264113183E-2</v>
      </c>
      <c r="E42">
        <v>1.0619999999999999E-2</v>
      </c>
      <c r="F42">
        <f t="shared" si="0"/>
        <v>0.98938000000000004</v>
      </c>
      <c r="G42" s="34">
        <f t="shared" si="10"/>
        <v>0.87233563180923335</v>
      </c>
      <c r="H42" s="72">
        <f t="shared" si="4"/>
        <v>0.13661243979174298</v>
      </c>
      <c r="I42" s="72">
        <v>457.68525019755202</v>
      </c>
      <c r="J42" s="73">
        <f t="shared" si="5"/>
        <v>17.711287340542818</v>
      </c>
      <c r="K42" s="73">
        <f t="shared" si="6"/>
        <v>313.68969925927229</v>
      </c>
      <c r="L42" s="34">
        <f t="shared" si="9"/>
        <v>9.363646333879861E-3</v>
      </c>
      <c r="M42" s="34">
        <f t="shared" si="7"/>
        <v>0.16584223077456656</v>
      </c>
      <c r="N42" s="34">
        <f t="shared" si="8"/>
        <v>2.9372794024449611</v>
      </c>
      <c r="O42" s="34"/>
    </row>
    <row r="43" spans="1:15" x14ac:dyDescent="0.2">
      <c r="A43">
        <v>39</v>
      </c>
      <c r="B43">
        <v>58</v>
      </c>
      <c r="C43">
        <f t="shared" si="1"/>
        <v>0.14914796641529154</v>
      </c>
      <c r="D43">
        <f t="shared" si="2"/>
        <v>2.2245115885816933E-2</v>
      </c>
      <c r="E43">
        <v>1.158E-2</v>
      </c>
      <c r="F43">
        <f t="shared" si="0"/>
        <v>0.98841999999999997</v>
      </c>
      <c r="G43" s="34">
        <f t="shared" si="10"/>
        <v>0.86223398519288241</v>
      </c>
      <c r="H43" s="72">
        <f t="shared" si="4"/>
        <v>0.12860044546567101</v>
      </c>
      <c r="I43" s="72">
        <v>464.14913539011479</v>
      </c>
      <c r="J43" s="73">
        <f t="shared" si="5"/>
        <v>17.867892705278873</v>
      </c>
      <c r="K43" s="73">
        <f t="shared" si="6"/>
        <v>319.26158972735794</v>
      </c>
      <c r="L43" s="34">
        <f t="shared" si="9"/>
        <v>1.0101646616350922E-2</v>
      </c>
      <c r="M43" s="34">
        <f t="shared" si="7"/>
        <v>0.18049513788760166</v>
      </c>
      <c r="N43" s="34">
        <f t="shared" si="8"/>
        <v>3.2250677576001818</v>
      </c>
      <c r="O43" s="34"/>
    </row>
    <row r="44" spans="1:15" x14ac:dyDescent="0.2">
      <c r="A44">
        <v>40</v>
      </c>
      <c r="B44">
        <v>59</v>
      </c>
      <c r="C44">
        <f t="shared" si="1"/>
        <v>0.14204568230027767</v>
      </c>
      <c r="D44">
        <f t="shared" si="2"/>
        <v>2.0176975860151419E-2</v>
      </c>
      <c r="E44">
        <v>1.2619999999999999E-2</v>
      </c>
      <c r="F44">
        <f t="shared" si="0"/>
        <v>0.98738000000000004</v>
      </c>
      <c r="G44" s="34">
        <f t="shared" si="10"/>
        <v>0.85135259229974825</v>
      </c>
      <c r="H44" s="72">
        <f t="shared" si="4"/>
        <v>0.12093095985132786</v>
      </c>
      <c r="I44" s="72">
        <v>471.05550998440231</v>
      </c>
      <c r="J44" s="73">
        <f t="shared" si="5"/>
        <v>18.017040671694165</v>
      </c>
      <c r="K44" s="73">
        <f t="shared" si="6"/>
        <v>324.61375456548171</v>
      </c>
      <c r="L44" s="34">
        <f t="shared" si="9"/>
        <v>1.0881392893134176E-2</v>
      </c>
      <c r="M44" s="34">
        <f t="shared" si="7"/>
        <v>0.19605049832028229</v>
      </c>
      <c r="N44" s="34">
        <f t="shared" si="8"/>
        <v>3.5322498019424344</v>
      </c>
      <c r="O44" s="34"/>
    </row>
    <row r="45" spans="1:15" x14ac:dyDescent="0.2">
      <c r="A45">
        <v>41</v>
      </c>
      <c r="B45">
        <v>60</v>
      </c>
      <c r="C45">
        <f t="shared" si="1"/>
        <v>0.13528160219074065</v>
      </c>
      <c r="D45">
        <f t="shared" si="2"/>
        <v>1.8301111891293805E-2</v>
      </c>
      <c r="E45">
        <v>1.376E-2</v>
      </c>
      <c r="F45">
        <f t="shared" si="0"/>
        <v>0.98624000000000001</v>
      </c>
      <c r="G45" s="34">
        <f t="shared" si="10"/>
        <v>0.83963798062970374</v>
      </c>
      <c r="H45" s="72">
        <f t="shared" si="4"/>
        <v>0.11358757127978439</v>
      </c>
      <c r="I45" s="72">
        <v>478.42446209871082</v>
      </c>
      <c r="J45" s="73">
        <f t="shared" si="5"/>
        <v>18.159086353994446</v>
      </c>
      <c r="K45" s="73">
        <f t="shared" si="6"/>
        <v>329.75241721182732</v>
      </c>
      <c r="L45" s="34">
        <f t="shared" si="9"/>
        <v>1.1714611670044535E-2</v>
      </c>
      <c r="M45" s="34">
        <f t="shared" si="7"/>
        <v>0.2127266449198498</v>
      </c>
      <c r="N45" s="34">
        <f t="shared" si="8"/>
        <v>3.8629215148950666</v>
      </c>
      <c r="O45" s="34"/>
    </row>
    <row r="46" spans="1:15" x14ac:dyDescent="0.2">
      <c r="A46">
        <v>42</v>
      </c>
      <c r="B46">
        <v>61</v>
      </c>
      <c r="C46">
        <f t="shared" si="1"/>
        <v>0.12883962113403868</v>
      </c>
      <c r="D46">
        <f t="shared" si="2"/>
        <v>1.6599647973962628E-2</v>
      </c>
      <c r="E46">
        <v>1.5009999999999999E-2</v>
      </c>
      <c r="F46">
        <f t="shared" si="0"/>
        <v>0.98499000000000003</v>
      </c>
      <c r="G46" s="34">
        <f t="shared" si="10"/>
        <v>0.82703501454045192</v>
      </c>
      <c r="H46" s="72">
        <f t="shared" si="4"/>
        <v>0.10655487793797599</v>
      </c>
      <c r="I46" s="72">
        <v>486.26778626638537</v>
      </c>
      <c r="J46" s="73">
        <f t="shared" si="5"/>
        <v>18.294367956185184</v>
      </c>
      <c r="K46" s="73">
        <f t="shared" si="6"/>
        <v>334.68389891629528</v>
      </c>
      <c r="L46" s="34">
        <f t="shared" si="9"/>
        <v>1.2602966089251853E-2</v>
      </c>
      <c r="M46" s="34">
        <f t="shared" si="7"/>
        <v>0.23056329897609759</v>
      </c>
      <c r="N46" s="34">
        <f t="shared" si="8"/>
        <v>4.218009828660664</v>
      </c>
      <c r="O46" s="34"/>
    </row>
    <row r="47" spans="1:15" x14ac:dyDescent="0.2">
      <c r="A47">
        <v>43</v>
      </c>
      <c r="B47">
        <v>62</v>
      </c>
      <c r="C47">
        <f t="shared" si="1"/>
        <v>0.12270440108003686</v>
      </c>
      <c r="D47">
        <f t="shared" si="2"/>
        <v>1.5056370044410549E-2</v>
      </c>
      <c r="E47">
        <v>1.6379999999999999E-2</v>
      </c>
      <c r="F47">
        <f t="shared" si="0"/>
        <v>0.98362000000000005</v>
      </c>
      <c r="G47" s="34">
        <f t="shared" si="10"/>
        <v>0.81348818100227938</v>
      </c>
      <c r="H47" s="72">
        <f t="shared" si="4"/>
        <v>9.9818580035573312E-2</v>
      </c>
      <c r="I47" s="72">
        <v>494.59390511671813</v>
      </c>
      <c r="J47" s="73">
        <f t="shared" si="5"/>
        <v>18.423207577319225</v>
      </c>
      <c r="K47" s="73">
        <f t="shared" si="6"/>
        <v>339.41457743699249</v>
      </c>
      <c r="L47" s="34">
        <f t="shared" si="9"/>
        <v>1.3546833538172601E-2</v>
      </c>
      <c r="M47" s="34">
        <f t="shared" si="7"/>
        <v>0.24957612628914369</v>
      </c>
      <c r="N47" s="34">
        <f t="shared" si="8"/>
        <v>4.5979927809681316</v>
      </c>
      <c r="O47" s="34"/>
    </row>
    <row r="48" spans="1:15" x14ac:dyDescent="0.2">
      <c r="A48">
        <v>44</v>
      </c>
      <c r="B48">
        <v>63</v>
      </c>
      <c r="C48">
        <f t="shared" si="1"/>
        <v>0.11686133436193985</v>
      </c>
      <c r="D48">
        <f t="shared" si="2"/>
        <v>1.3656571468853103E-2</v>
      </c>
      <c r="E48">
        <v>1.788E-2</v>
      </c>
      <c r="F48">
        <f t="shared" si="0"/>
        <v>0.98211999999999999</v>
      </c>
      <c r="G48" s="34">
        <f t="shared" si="10"/>
        <v>0.79894301232595866</v>
      </c>
      <c r="H48" s="72">
        <f t="shared" si="4"/>
        <v>9.336554649955929E-2</v>
      </c>
      <c r="I48" s="72">
        <v>503.40776659219961</v>
      </c>
      <c r="J48" s="73">
        <f t="shared" si="5"/>
        <v>18.545911978399261</v>
      </c>
      <c r="K48" s="73">
        <f t="shared" si="6"/>
        <v>343.95085111053316</v>
      </c>
      <c r="L48" s="34">
        <f t="shared" si="9"/>
        <v>1.4545168676320755E-2</v>
      </c>
      <c r="M48" s="34">
        <f t="shared" si="7"/>
        <v>0.2697534179820148</v>
      </c>
      <c r="N48" s="34">
        <f t="shared" si="8"/>
        <v>5.0028231457667909</v>
      </c>
      <c r="O48" s="34"/>
    </row>
    <row r="49" spans="1:15" x14ac:dyDescent="0.2">
      <c r="A49">
        <v>45</v>
      </c>
      <c r="B49">
        <v>64</v>
      </c>
      <c r="C49">
        <f t="shared" si="1"/>
        <v>0.11129650891613319</v>
      </c>
      <c r="D49">
        <f t="shared" si="2"/>
        <v>1.2386912896918914E-2</v>
      </c>
      <c r="E49">
        <v>1.9519999999999999E-2</v>
      </c>
      <c r="F49">
        <f t="shared" si="0"/>
        <v>0.98048000000000002</v>
      </c>
      <c r="G49" s="34">
        <f t="shared" si="10"/>
        <v>0.78334764472535601</v>
      </c>
      <c r="H49" s="72">
        <f t="shared" si="4"/>
        <v>8.7183858125607513E-2</v>
      </c>
      <c r="I49" s="72">
        <v>512.7105744695674</v>
      </c>
      <c r="J49" s="73">
        <f t="shared" si="5"/>
        <v>18.662773312761203</v>
      </c>
      <c r="K49" s="73">
        <f t="shared" si="6"/>
        <v>348.29910772351178</v>
      </c>
      <c r="L49" s="34">
        <f t="shared" si="9"/>
        <v>1.5595367600602712E-2</v>
      </c>
      <c r="M49" s="34">
        <f t="shared" si="7"/>
        <v>0.29105281025922902</v>
      </c>
      <c r="N49" s="34">
        <f t="shared" si="8"/>
        <v>5.4318526199100896</v>
      </c>
      <c r="O49" s="34"/>
    </row>
    <row r="50" spans="1:15" x14ac:dyDescent="0.2">
      <c r="A50">
        <v>46</v>
      </c>
      <c r="B50">
        <v>65</v>
      </c>
      <c r="C50">
        <f t="shared" si="1"/>
        <v>0.10599667515822207</v>
      </c>
      <c r="D50">
        <f t="shared" si="2"/>
        <v>1.1235295144597653E-2</v>
      </c>
      <c r="E50">
        <v>2.0920000000000001E-2</v>
      </c>
      <c r="F50">
        <f t="shared" si="0"/>
        <v>0.97907999999999995</v>
      </c>
      <c r="G50" s="34">
        <f t="shared" si="10"/>
        <v>0.76696001199770147</v>
      </c>
      <c r="H50" s="72">
        <f t="shared" si="4"/>
        <v>8.1295211251066465E-2</v>
      </c>
      <c r="I50" s="72">
        <v>522.49988840469859</v>
      </c>
      <c r="J50" s="73">
        <f t="shared" si="5"/>
        <v>18.774069821677333</v>
      </c>
      <c r="K50" s="73">
        <f t="shared" si="6"/>
        <v>352.46569766921556</v>
      </c>
      <c r="L50" s="34">
        <f t="shared" si="9"/>
        <v>1.638763272765445E-2</v>
      </c>
      <c r="M50" s="34">
        <f t="shared" si="7"/>
        <v>0.30766256104098921</v>
      </c>
      <c r="N50" s="34">
        <f t="shared" si="8"/>
        <v>5.7760784024995955</v>
      </c>
      <c r="O50" s="34"/>
    </row>
    <row r="51" spans="1:15" x14ac:dyDescent="0.2">
      <c r="A51">
        <v>47</v>
      </c>
      <c r="B51">
        <v>66</v>
      </c>
      <c r="C51">
        <f t="shared" si="1"/>
        <v>0.10094921443640198</v>
      </c>
      <c r="D51">
        <f t="shared" si="2"/>
        <v>1.0190743895326669E-2</v>
      </c>
      <c r="E51">
        <v>2.368E-2</v>
      </c>
      <c r="F51">
        <f t="shared" si="0"/>
        <v>0.97631999999999997</v>
      </c>
      <c r="G51" s="34">
        <f t="shared" si="10"/>
        <v>0.7487983989135959</v>
      </c>
      <c r="H51" s="72">
        <f t="shared" si="4"/>
        <v>7.5590610141563069E-2</v>
      </c>
      <c r="I51" s="72">
        <v>532.95563399042067</v>
      </c>
      <c r="J51" s="73">
        <f t="shared" si="5"/>
        <v>18.880066496835557</v>
      </c>
      <c r="K51" s="73">
        <f t="shared" si="6"/>
        <v>356.45691092493246</v>
      </c>
      <c r="L51" s="34">
        <f t="shared" si="9"/>
        <v>1.816161308410557E-2</v>
      </c>
      <c r="M51" s="34">
        <f t="shared" si="7"/>
        <v>0.34289246271771184</v>
      </c>
      <c r="N51" s="34">
        <f t="shared" si="8"/>
        <v>6.473832497374107</v>
      </c>
      <c r="O51" s="34"/>
    </row>
    <row r="52" spans="1:15" x14ac:dyDescent="0.2">
      <c r="A52">
        <v>48</v>
      </c>
      <c r="B52">
        <v>67</v>
      </c>
      <c r="C52">
        <f t="shared" si="1"/>
        <v>9.6142108987049502E-2</v>
      </c>
      <c r="D52">
        <f t="shared" si="2"/>
        <v>9.2433051204777045E-3</v>
      </c>
      <c r="E52">
        <v>2.5440000000000001E-2</v>
      </c>
      <c r="F52">
        <f t="shared" si="0"/>
        <v>0.97455999999999998</v>
      </c>
      <c r="G52" s="34">
        <f t="shared" si="10"/>
        <v>0.729748967645234</v>
      </c>
      <c r="H52" s="72">
        <f t="shared" si="4"/>
        <v>7.0159604780534943E-2</v>
      </c>
      <c r="I52" s="72">
        <v>543.51554836895775</v>
      </c>
      <c r="J52" s="73">
        <f t="shared" si="5"/>
        <v>18.981015711271958</v>
      </c>
      <c r="K52" s="73">
        <f t="shared" si="6"/>
        <v>360.2789574315529</v>
      </c>
      <c r="L52" s="34">
        <f t="shared" si="9"/>
        <v>1.904943126836188E-2</v>
      </c>
      <c r="M52" s="34">
        <f t="shared" si="7"/>
        <v>0.36157755419557214</v>
      </c>
      <c r="N52" s="34">
        <f t="shared" si="8"/>
        <v>6.8631092370294429</v>
      </c>
      <c r="O52" s="34"/>
    </row>
    <row r="53" spans="1:15" x14ac:dyDescent="0.2">
      <c r="A53">
        <v>49</v>
      </c>
      <c r="B53">
        <v>68</v>
      </c>
      <c r="C53">
        <f t="shared" si="1"/>
        <v>9.1563913320999515E-2</v>
      </c>
      <c r="D53">
        <f t="shared" si="2"/>
        <v>8.3839502226555132E-3</v>
      </c>
      <c r="E53">
        <v>2.7789999999999999E-2</v>
      </c>
      <c r="F53">
        <f t="shared" si="0"/>
        <v>0.97221000000000002</v>
      </c>
      <c r="G53" s="34">
        <f t="shared" si="10"/>
        <v>0.70946924383437293</v>
      </c>
      <c r="H53" s="72">
        <f t="shared" si="4"/>
        <v>6.49617803463656E-2</v>
      </c>
      <c r="I53" s="72">
        <v>554.68572422449586</v>
      </c>
      <c r="J53" s="73">
        <f t="shared" si="5"/>
        <v>19.077157820259007</v>
      </c>
      <c r="K53" s="73">
        <f t="shared" si="6"/>
        <v>363.93795049906942</v>
      </c>
      <c r="L53" s="34">
        <f t="shared" si="9"/>
        <v>2.0279723810861051E-2</v>
      </c>
      <c r="M53" s="34">
        <f t="shared" si="7"/>
        <v>0.38687949169106067</v>
      </c>
      <c r="N53" s="34">
        <f t="shared" si="8"/>
        <v>7.380561120411949</v>
      </c>
      <c r="O53" s="34"/>
    </row>
    <row r="54" spans="1:15" x14ac:dyDescent="0.2">
      <c r="A54">
        <v>50</v>
      </c>
      <c r="B54">
        <v>69</v>
      </c>
      <c r="C54">
        <f t="shared" si="1"/>
        <v>8.7203726972380491E-2</v>
      </c>
      <c r="D54">
        <f t="shared" si="2"/>
        <v>7.6044899978734808E-3</v>
      </c>
      <c r="E54">
        <v>3.0370000000000001E-2</v>
      </c>
      <c r="F54">
        <f t="shared" si="0"/>
        <v>0.96962999999999999</v>
      </c>
      <c r="G54" s="34">
        <f t="shared" si="10"/>
        <v>0.68792266289912307</v>
      </c>
      <c r="H54" s="72">
        <f t="shared" si="4"/>
        <v>5.998942007356807E-2</v>
      </c>
      <c r="I54" s="72">
        <v>566.27274895092717</v>
      </c>
      <c r="J54" s="73">
        <f t="shared" si="5"/>
        <v>19.168721733580007</v>
      </c>
      <c r="K54" s="73">
        <f t="shared" si="6"/>
        <v>367.43989289942249</v>
      </c>
      <c r="L54" s="34">
        <f t="shared" si="9"/>
        <v>2.1546580935249908E-2</v>
      </c>
      <c r="M54" s="34">
        <f t="shared" si="7"/>
        <v>0.41302041425786556</v>
      </c>
      <c r="N54" s="34">
        <f t="shared" si="8"/>
        <v>7.9170733911969648</v>
      </c>
      <c r="O54" s="34"/>
    </row>
    <row r="55" spans="1:15" x14ac:dyDescent="0.2">
      <c r="A55">
        <v>51</v>
      </c>
      <c r="B55">
        <v>70</v>
      </c>
      <c r="C55">
        <f t="shared" si="1"/>
        <v>8.3051168545124274E-2</v>
      </c>
      <c r="D55">
        <f t="shared" si="2"/>
        <v>6.8974965967106396E-3</v>
      </c>
      <c r="E55">
        <v>3.3180000000000001E-2</v>
      </c>
      <c r="F55">
        <f t="shared" si="0"/>
        <v>0.96682000000000001</v>
      </c>
      <c r="G55" s="34">
        <f t="shared" si="10"/>
        <v>0.66509738894413017</v>
      </c>
      <c r="H55" s="72">
        <f t="shared" si="4"/>
        <v>5.5237115348121028E-2</v>
      </c>
      <c r="I55" s="72">
        <v>578.23947495580387</v>
      </c>
      <c r="J55" s="73">
        <f t="shared" si="5"/>
        <v>19.25592546055239</v>
      </c>
      <c r="K55" s="73">
        <f t="shared" si="6"/>
        <v>370.79066534234977</v>
      </c>
      <c r="L55" s="34">
        <f t="shared" si="9"/>
        <v>2.2825273954992904E-2</v>
      </c>
      <c r="M55" s="34">
        <f t="shared" si="7"/>
        <v>0.43952177389403124</v>
      </c>
      <c r="N55" s="34">
        <f t="shared" si="8"/>
        <v>8.4633985163932266</v>
      </c>
      <c r="O55" s="34"/>
    </row>
    <row r="56" spans="1:15" x14ac:dyDescent="0.2">
      <c r="A56">
        <v>52</v>
      </c>
      <c r="B56">
        <v>71</v>
      </c>
      <c r="C56">
        <f t="shared" si="1"/>
        <v>7.909635099535646E-2</v>
      </c>
      <c r="D56">
        <f t="shared" si="2"/>
        <v>6.2562327407806265E-3</v>
      </c>
      <c r="E56">
        <v>3.6260000000000001E-2</v>
      </c>
      <c r="F56">
        <f t="shared" si="0"/>
        <v>0.96374000000000004</v>
      </c>
      <c r="G56" s="34">
        <f t="shared" si="10"/>
        <v>0.64098095762101603</v>
      </c>
      <c r="H56" s="72">
        <f t="shared" si="4"/>
        <v>5.0699254805331585E-2</v>
      </c>
      <c r="I56" s="72">
        <v>590.55106222382244</v>
      </c>
      <c r="J56" s="73">
        <f t="shared" si="5"/>
        <v>19.338976629097512</v>
      </c>
      <c r="K56" s="73">
        <f t="shared" si="6"/>
        <v>373.99601706077976</v>
      </c>
      <c r="L56" s="34">
        <f t="shared" si="9"/>
        <v>2.4116431323114161E-2</v>
      </c>
      <c r="M56" s="34">
        <f t="shared" si="7"/>
        <v>0.46638710173493997</v>
      </c>
      <c r="N56" s="34">
        <f t="shared" si="8"/>
        <v>9.019449260564528</v>
      </c>
      <c r="O56" s="34"/>
    </row>
    <row r="57" spans="1:15" x14ac:dyDescent="0.2">
      <c r="A57">
        <v>53</v>
      </c>
      <c r="B57">
        <v>72</v>
      </c>
      <c r="C57">
        <f t="shared" si="1"/>
        <v>7.532985809081566E-2</v>
      </c>
      <c r="D57">
        <f t="shared" si="2"/>
        <v>5.6745875199824252E-3</v>
      </c>
      <c r="E57">
        <v>3.9619999999999995E-2</v>
      </c>
      <c r="F57">
        <f t="shared" si="0"/>
        <v>0.96038000000000001</v>
      </c>
      <c r="G57" s="34">
        <f t="shared" si="10"/>
        <v>0.6155852920800714</v>
      </c>
      <c r="H57" s="72">
        <f t="shared" si="4"/>
        <v>4.6371952695185091E-2</v>
      </c>
      <c r="I57" s="72">
        <v>603.15948978768472</v>
      </c>
      <c r="J57" s="73">
        <f t="shared" si="5"/>
        <v>19.418072980092873</v>
      </c>
      <c r="K57" s="73">
        <f t="shared" si="6"/>
        <v>377.06155826021291</v>
      </c>
      <c r="L57" s="34">
        <f t="shared" si="9"/>
        <v>2.5395665540944651E-2</v>
      </c>
      <c r="M57" s="34">
        <f t="shared" si="7"/>
        <v>0.493134886852093</v>
      </c>
      <c r="N57" s="34">
        <f t="shared" si="8"/>
        <v>9.5757292219237833</v>
      </c>
      <c r="O57" s="34"/>
    </row>
    <row r="58" spans="1:15" x14ac:dyDescent="0.2">
      <c r="A58">
        <v>54</v>
      </c>
      <c r="B58">
        <v>73</v>
      </c>
      <c r="C58">
        <f t="shared" si="1"/>
        <v>7.1742721991253006E-2</v>
      </c>
      <c r="D58">
        <f t="shared" si="2"/>
        <v>5.1470181587142177E-3</v>
      </c>
      <c r="E58">
        <v>4.3299999999999998E-2</v>
      </c>
      <c r="F58">
        <f t="shared" si="0"/>
        <v>0.95669999999999999</v>
      </c>
      <c r="G58" s="34">
        <f t="shared" si="10"/>
        <v>0.58893044893300428</v>
      </c>
      <c r="H58" s="72">
        <f t="shared" si="4"/>
        <v>4.2251473469984355E-2</v>
      </c>
      <c r="I58" s="72">
        <v>616.01710971563023</v>
      </c>
      <c r="J58" s="73">
        <f t="shared" si="5"/>
        <v>19.493402838183684</v>
      </c>
      <c r="K58" s="73">
        <f t="shared" si="6"/>
        <v>379.99275421170768</v>
      </c>
      <c r="L58" s="34">
        <f t="shared" si="9"/>
        <v>2.6654843147067092E-2</v>
      </c>
      <c r="M58" s="34">
        <f t="shared" si="7"/>
        <v>0.51959359505437852</v>
      </c>
      <c r="N58" s="34">
        <f t="shared" si="8"/>
        <v>10.128647260535086</v>
      </c>
      <c r="O58" s="34"/>
    </row>
    <row r="59" spans="1:15" x14ac:dyDescent="0.2">
      <c r="A59">
        <v>55</v>
      </c>
      <c r="B59">
        <v>74</v>
      </c>
      <c r="C59">
        <f t="shared" si="1"/>
        <v>6.8326401896431424E-2</v>
      </c>
      <c r="D59">
        <f t="shared" si="2"/>
        <v>4.6684971961126675E-3</v>
      </c>
      <c r="E59">
        <v>4.7310000000000005E-2</v>
      </c>
      <c r="F59">
        <f t="shared" si="0"/>
        <v>0.95269000000000004</v>
      </c>
      <c r="G59" s="34">
        <f t="shared" si="10"/>
        <v>0.56106814939398386</v>
      </c>
      <c r="H59" s="72">
        <f t="shared" si="4"/>
        <v>3.8335767866780369E-2</v>
      </c>
      <c r="I59" s="72">
        <v>629.06649951528971</v>
      </c>
      <c r="J59" s="73">
        <f t="shared" si="5"/>
        <v>19.565145560174937</v>
      </c>
      <c r="K59" s="73">
        <f t="shared" si="6"/>
        <v>382.79492079083303</v>
      </c>
      <c r="L59" s="34">
        <f t="shared" si="9"/>
        <v>2.7862299539020436E-2</v>
      </c>
      <c r="M59" s="34">
        <f t="shared" si="7"/>
        <v>0.54512994612212984</v>
      </c>
      <c r="N59" s="34">
        <f t="shared" si="8"/>
        <v>10.665546745089792</v>
      </c>
      <c r="O59" s="34"/>
    </row>
    <row r="60" spans="1:15" x14ac:dyDescent="0.2">
      <c r="A60">
        <v>56</v>
      </c>
      <c r="B60">
        <v>75</v>
      </c>
      <c r="C60">
        <f t="shared" si="1"/>
        <v>6.5072763710887077E-2</v>
      </c>
      <c r="D60">
        <f t="shared" si="2"/>
        <v>4.2344645769729419E-3</v>
      </c>
      <c r="E60">
        <v>5.169E-2</v>
      </c>
      <c r="F60">
        <f t="shared" si="0"/>
        <v>0.94830999999999999</v>
      </c>
      <c r="G60" s="34">
        <f t="shared" si="10"/>
        <v>0.53206653675180882</v>
      </c>
      <c r="H60" s="72">
        <f t="shared" si="4"/>
        <v>3.462304002452047E-2</v>
      </c>
      <c r="I60" s="72">
        <v>642.25380370705352</v>
      </c>
      <c r="J60" s="73">
        <f t="shared" si="5"/>
        <v>19.633471962071368</v>
      </c>
      <c r="K60" s="73">
        <f t="shared" si="6"/>
        <v>385.47322128544255</v>
      </c>
      <c r="L60" s="34">
        <f t="shared" si="9"/>
        <v>2.9001612642175024E-2</v>
      </c>
      <c r="M60" s="34">
        <f t="shared" si="7"/>
        <v>0.56940234866499784</v>
      </c>
      <c r="N60" s="34">
        <f t="shared" si="8"/>
        <v>11.179345047651822</v>
      </c>
      <c r="O60" s="34"/>
    </row>
    <row r="61" spans="1:15" x14ac:dyDescent="0.2">
      <c r="A61">
        <v>57</v>
      </c>
      <c r="B61">
        <v>76</v>
      </c>
      <c r="C61">
        <f t="shared" si="1"/>
        <v>6.1974060677035314E-2</v>
      </c>
      <c r="D61">
        <f t="shared" si="2"/>
        <v>3.840784196800855E-3</v>
      </c>
      <c r="E61">
        <v>5.6469999999999999E-2</v>
      </c>
      <c r="F61">
        <f t="shared" si="0"/>
        <v>0.94352999999999998</v>
      </c>
      <c r="G61" s="34">
        <f t="shared" si="10"/>
        <v>0.50202073942143421</v>
      </c>
      <c r="H61" s="72">
        <f t="shared" si="4"/>
        <v>3.1112263766034098E-2</v>
      </c>
      <c r="I61" s="72">
        <v>655.51967711983139</v>
      </c>
      <c r="J61" s="73">
        <f t="shared" si="5"/>
        <v>19.698544725782256</v>
      </c>
      <c r="K61" s="73">
        <f t="shared" si="6"/>
        <v>388.03266431364392</v>
      </c>
      <c r="L61" s="34">
        <f t="shared" si="9"/>
        <v>3.0045797330374643E-2</v>
      </c>
      <c r="M61" s="34">
        <f t="shared" si="7"/>
        <v>0.59185848253417406</v>
      </c>
      <c r="N61" s="34">
        <f t="shared" si="8"/>
        <v>11.658750789533043</v>
      </c>
      <c r="O61" s="34"/>
    </row>
    <row r="62" spans="1:15" x14ac:dyDescent="0.2">
      <c r="A62">
        <v>58</v>
      </c>
      <c r="B62">
        <v>77</v>
      </c>
      <c r="C62">
        <f t="shared" si="1"/>
        <v>5.9022914930509818E-2</v>
      </c>
      <c r="D62">
        <f t="shared" si="2"/>
        <v>3.4837044868941988E-3</v>
      </c>
      <c r="E62">
        <v>6.1679999999999999E-2</v>
      </c>
      <c r="F62">
        <f t="shared" si="0"/>
        <v>0.93832000000000004</v>
      </c>
      <c r="G62" s="34">
        <f t="shared" si="10"/>
        <v>0.47105610021392019</v>
      </c>
      <c r="H62" s="72">
        <f t="shared" si="4"/>
        <v>2.780310413042392E-2</v>
      </c>
      <c r="I62" s="72">
        <v>668.80508752184221</v>
      </c>
      <c r="J62" s="73">
        <f t="shared" si="5"/>
        <v>19.760518786459293</v>
      </c>
      <c r="K62" s="73">
        <f t="shared" si="6"/>
        <v>390.47810271001066</v>
      </c>
      <c r="L62" s="34">
        <f t="shared" si="9"/>
        <v>3.096463920751406E-2</v>
      </c>
      <c r="M62" s="34">
        <f t="shared" si="7"/>
        <v>0.61187733477601558</v>
      </c>
      <c r="N62" s="34">
        <f t="shared" si="8"/>
        <v>12.091013568850098</v>
      </c>
      <c r="O62" s="34"/>
    </row>
    <row r="63" spans="1:15" x14ac:dyDescent="0.2">
      <c r="A63">
        <v>59</v>
      </c>
      <c r="B63">
        <v>78</v>
      </c>
      <c r="C63">
        <f t="shared" si="1"/>
        <v>5.621229993381887E-2</v>
      </c>
      <c r="D63">
        <f t="shared" si="2"/>
        <v>3.1598226638496129E-3</v>
      </c>
      <c r="E63">
        <v>6.7369999999999999E-2</v>
      </c>
      <c r="F63">
        <f t="shared" si="0"/>
        <v>0.93262999999999996</v>
      </c>
      <c r="G63" s="34">
        <f t="shared" si="10"/>
        <v>0.43932105074250838</v>
      </c>
      <c r="H63" s="72">
        <f t="shared" si="4"/>
        <v>2.4695246671578339E-2</v>
      </c>
      <c r="I63" s="72">
        <v>682.05350803948033</v>
      </c>
      <c r="J63" s="73">
        <f t="shared" si="5"/>
        <v>19.819541701389802</v>
      </c>
      <c r="K63" s="73">
        <f t="shared" si="6"/>
        <v>392.81423325312937</v>
      </c>
      <c r="L63" s="34">
        <f t="shared" si="9"/>
        <v>3.17350494714118E-2</v>
      </c>
      <c r="M63" s="34">
        <f t="shared" si="7"/>
        <v>0.62897413639431454</v>
      </c>
      <c r="N63" s="34">
        <f t="shared" si="8"/>
        <v>12.465979125362754</v>
      </c>
      <c r="O63" s="34"/>
    </row>
    <row r="64" spans="1:15" x14ac:dyDescent="0.2">
      <c r="A64">
        <v>60</v>
      </c>
      <c r="B64">
        <v>79</v>
      </c>
      <c r="C64">
        <f t="shared" si="1"/>
        <v>5.353552374649416E-2</v>
      </c>
      <c r="D64">
        <f t="shared" si="2"/>
        <v>2.86605230281144E-3</v>
      </c>
      <c r="E64">
        <v>7.356E-2</v>
      </c>
      <c r="F64">
        <f t="shared" si="0"/>
        <v>0.92644000000000004</v>
      </c>
      <c r="G64" s="34">
        <f t="shared" si="10"/>
        <v>0.4070045942498895</v>
      </c>
      <c r="H64" s="72">
        <f t="shared" si="4"/>
        <v>2.1789204120397178E-2</v>
      </c>
      <c r="I64" s="72">
        <v>695.20643001077894</v>
      </c>
      <c r="J64" s="73">
        <f t="shared" si="5"/>
        <v>19.875754001323617</v>
      </c>
      <c r="K64" s="73">
        <f t="shared" si="6"/>
        <v>395.04559712113178</v>
      </c>
      <c r="L64" s="34">
        <f t="shared" si="9"/>
        <v>3.2316456492618918E-2</v>
      </c>
      <c r="M64" s="34">
        <f t="shared" si="7"/>
        <v>0.64231393944177106</v>
      </c>
      <c r="N64" s="34">
        <f t="shared" si="8"/>
        <v>12.766473851965717</v>
      </c>
      <c r="O64" s="34"/>
    </row>
    <row r="65" spans="1:15" x14ac:dyDescent="0.2">
      <c r="A65">
        <v>61</v>
      </c>
      <c r="B65">
        <v>80</v>
      </c>
      <c r="C65">
        <f t="shared" si="1"/>
        <v>5.0986213091899199E-2</v>
      </c>
      <c r="D65">
        <f t="shared" si="2"/>
        <v>2.5995939254525534E-3</v>
      </c>
      <c r="E65">
        <v>8.0299999999999996E-2</v>
      </c>
      <c r="F65">
        <f t="shared" si="0"/>
        <v>0.91969999999999996</v>
      </c>
      <c r="G65" s="34">
        <f t="shared" si="10"/>
        <v>0.37432212533162335</v>
      </c>
      <c r="H65" s="72">
        <f t="shared" si="4"/>
        <v>1.9085267647170747E-2</v>
      </c>
      <c r="I65" s="72">
        <v>708.21483936336165</v>
      </c>
      <c r="J65" s="73">
        <f t="shared" si="5"/>
        <v>19.929289525070118</v>
      </c>
      <c r="K65" s="73">
        <f t="shared" si="6"/>
        <v>397.17658097406951</v>
      </c>
      <c r="L65" s="34">
        <f t="shared" si="9"/>
        <v>3.2682468918266122E-2</v>
      </c>
      <c r="M65" s="34">
        <f t="shared" si="7"/>
        <v>0.65133838546623068</v>
      </c>
      <c r="N65" s="34">
        <f t="shared" si="8"/>
        <v>12.980711262748235</v>
      </c>
      <c r="O65" s="34"/>
    </row>
    <row r="66" spans="1:15" x14ac:dyDescent="0.2">
      <c r="A66">
        <v>62</v>
      </c>
      <c r="B66">
        <v>81</v>
      </c>
      <c r="C66">
        <f t="shared" si="1"/>
        <v>4.8558298182761132E-2</v>
      </c>
      <c r="D66">
        <f t="shared" si="2"/>
        <v>2.3579083224059432E-3</v>
      </c>
      <c r="E66">
        <v>8.7639999999999996E-2</v>
      </c>
      <c r="F66">
        <f t="shared" si="0"/>
        <v>0.91236000000000006</v>
      </c>
      <c r="G66" s="34">
        <f t="shared" si="10"/>
        <v>0.3415165342675599</v>
      </c>
      <c r="H66" s="72">
        <f t="shared" si="4"/>
        <v>1.6583461705307334E-2</v>
      </c>
      <c r="I66" s="72">
        <v>721.03161331541082</v>
      </c>
      <c r="J66" s="73">
        <f t="shared" si="5"/>
        <v>19.980275738162014</v>
      </c>
      <c r="K66" s="73">
        <f t="shared" si="6"/>
        <v>399.21141857298562</v>
      </c>
      <c r="L66" s="34">
        <f t="shared" si="9"/>
        <v>3.2805591064063472E-2</v>
      </c>
      <c r="M66" s="34">
        <f t="shared" si="7"/>
        <v>0.655464755213372</v>
      </c>
      <c r="N66" s="34">
        <f t="shared" si="8"/>
        <v>13.096366545810039</v>
      </c>
      <c r="O66" s="34"/>
    </row>
    <row r="67" spans="1:15" x14ac:dyDescent="0.2">
      <c r="A67">
        <v>63</v>
      </c>
      <c r="B67">
        <v>82</v>
      </c>
      <c r="C67">
        <f t="shared" si="1"/>
        <v>4.6245998269296325E-2</v>
      </c>
      <c r="D67">
        <f t="shared" si="2"/>
        <v>2.1386923559237585E-3</v>
      </c>
      <c r="E67">
        <v>9.5610000000000001E-2</v>
      </c>
      <c r="F67">
        <f t="shared" si="0"/>
        <v>0.90439000000000003</v>
      </c>
      <c r="G67" s="34">
        <f t="shared" si="10"/>
        <v>0.3088641384262385</v>
      </c>
      <c r="H67" s="72">
        <f t="shared" si="4"/>
        <v>1.4283730411107526E-2</v>
      </c>
      <c r="I67" s="72">
        <v>733.61295084718847</v>
      </c>
      <c r="J67" s="73">
        <f t="shared" si="5"/>
        <v>20.028834036344776</v>
      </c>
      <c r="K67" s="73">
        <f t="shared" si="6"/>
        <v>401.15419285544294</v>
      </c>
      <c r="L67" s="34">
        <f t="shared" si="9"/>
        <v>3.2652395841321402E-2</v>
      </c>
      <c r="M67" s="34">
        <f t="shared" si="7"/>
        <v>0.6539894171948607</v>
      </c>
      <c r="N67" s="34">
        <f t="shared" si="8"/>
        <v>13.098645498521709</v>
      </c>
      <c r="O67" s="34"/>
    </row>
    <row r="68" spans="1:15" x14ac:dyDescent="0.2">
      <c r="A68">
        <v>64</v>
      </c>
      <c r="B68">
        <v>83</v>
      </c>
      <c r="C68">
        <f t="shared" si="1"/>
        <v>4.4043807875520306E-2</v>
      </c>
      <c r="D68">
        <f t="shared" si="2"/>
        <v>1.9398570121757445E-3</v>
      </c>
      <c r="E68">
        <v>0.10428</v>
      </c>
      <c r="F68">
        <f t="shared" si="0"/>
        <v>0.89571999999999996</v>
      </c>
      <c r="G68" s="34">
        <f t="shared" si="10"/>
        <v>0.27665578607115032</v>
      </c>
      <c r="H68" s="72">
        <f t="shared" si="4"/>
        <v>1.2184974289368792E-2</v>
      </c>
      <c r="I68" s="72">
        <v>745.92495244076758</v>
      </c>
      <c r="J68" s="73">
        <f t="shared" si="5"/>
        <v>20.075080034614071</v>
      </c>
      <c r="K68" s="73">
        <f t="shared" si="6"/>
        <v>403.00883839616051</v>
      </c>
      <c r="L68" s="34">
        <f t="shared" si="9"/>
        <v>3.2208352355088149E-2</v>
      </c>
      <c r="M68" s="34">
        <f t="shared" si="7"/>
        <v>0.64658525131144517</v>
      </c>
      <c r="N68" s="34">
        <f t="shared" si="8"/>
        <v>12.980250669278316</v>
      </c>
      <c r="O68" s="34"/>
    </row>
    <row r="69" spans="1:15" x14ac:dyDescent="0.2">
      <c r="A69">
        <v>65</v>
      </c>
      <c r="B69">
        <v>84</v>
      </c>
      <c r="C69">
        <f t="shared" si="1"/>
        <v>4.1946483690971717E-2</v>
      </c>
      <c r="D69">
        <f t="shared" si="2"/>
        <v>1.7595074940369563E-3</v>
      </c>
      <c r="E69">
        <v>0.11369</v>
      </c>
      <c r="F69">
        <f t="shared" ref="F69:F95" si="11">1-E69</f>
        <v>0.88631000000000004</v>
      </c>
      <c r="G69" s="34">
        <f t="shared" si="10"/>
        <v>0.24520278975272125</v>
      </c>
      <c r="H69" s="72">
        <f t="shared" si="4"/>
        <v>1.0285394821343288E-2</v>
      </c>
      <c r="I69" s="72">
        <v>757.93344854681322</v>
      </c>
      <c r="J69" s="73">
        <f t="shared" si="5"/>
        <v>20.119123842489593</v>
      </c>
      <c r="K69" s="73">
        <f t="shared" si="6"/>
        <v>404.77914418943323</v>
      </c>
      <c r="L69" s="34">
        <f t="shared" si="9"/>
        <v>3.1452996318429079E-2</v>
      </c>
      <c r="M69" s="34">
        <f t="shared" si="7"/>
        <v>0.63280672814784389</v>
      </c>
      <c r="N69" s="34">
        <f t="shared" si="8"/>
        <v>12.731516931967116</v>
      </c>
      <c r="O69" s="34"/>
    </row>
    <row r="70" spans="1:15" x14ac:dyDescent="0.2">
      <c r="A70">
        <v>66</v>
      </c>
      <c r="B70">
        <v>85</v>
      </c>
      <c r="C70">
        <f t="shared" ref="C70:C95" si="12">(1/(1+$C$2))^A70</f>
        <v>3.9949032086639732E-2</v>
      </c>
      <c r="D70">
        <f t="shared" ref="D70:D95" si="13">C70^2</f>
        <v>1.595925164659371E-3</v>
      </c>
      <c r="E70">
        <v>0.12389</v>
      </c>
      <c r="F70">
        <f t="shared" si="11"/>
        <v>0.87610999999999994</v>
      </c>
      <c r="G70" s="34">
        <f t="shared" ref="G70:G95" si="14">F70*G69</f>
        <v>0.21482461613025661</v>
      </c>
      <c r="H70" s="72">
        <f t="shared" ref="H70:H95" si="15">C70*G70</f>
        <v>8.5820354827876848E-3</v>
      </c>
      <c r="I70" s="72">
        <v>769.6121243729051</v>
      </c>
      <c r="J70" s="73">
        <f t="shared" ref="J70:J95" si="16">-PV($C$2,A70,1,,1)</f>
        <v>20.161070326180564</v>
      </c>
      <c r="K70" s="73">
        <f t="shared" ref="K70:K95" si="17">J70^2</f>
        <v>406.46875669719844</v>
      </c>
      <c r="L70" s="34">
        <f t="shared" si="9"/>
        <v>3.0378173622464637E-2</v>
      </c>
      <c r="M70" s="34">
        <f t="shared" ref="M70:M95" si="18">J70*L70</f>
        <v>0.61245649478343289</v>
      </c>
      <c r="N70" s="34">
        <f t="shared" ref="N70:N95" si="19">K70*L70</f>
        <v>12.34777846305483</v>
      </c>
      <c r="O70" s="34"/>
    </row>
    <row r="71" spans="1:15" x14ac:dyDescent="0.2">
      <c r="A71">
        <v>67</v>
      </c>
      <c r="B71">
        <v>86</v>
      </c>
      <c r="C71">
        <f t="shared" si="12"/>
        <v>3.804669722537117E-2</v>
      </c>
      <c r="D71">
        <f t="shared" si="13"/>
        <v>1.4475511697590662E-3</v>
      </c>
      <c r="E71">
        <v>0.13494</v>
      </c>
      <c r="F71">
        <f t="shared" si="11"/>
        <v>0.86505999999999994</v>
      </c>
      <c r="G71" s="34">
        <f t="shared" si="14"/>
        <v>0.18583618242963976</v>
      </c>
      <c r="H71" s="72">
        <f t="shared" si="15"/>
        <v>7.0704529664193452E-3</v>
      </c>
      <c r="I71" s="72">
        <v>780.9400694348659</v>
      </c>
      <c r="J71" s="73">
        <f t="shared" si="16"/>
        <v>20.201019358267203</v>
      </c>
      <c r="K71" s="73">
        <f t="shared" si="17"/>
        <v>408.0811831130863</v>
      </c>
      <c r="L71" s="34">
        <f t="shared" ref="L71:L95" si="20">G70*E71</f>
        <v>2.8988433700616826E-2</v>
      </c>
      <c r="M71" s="34">
        <f t="shared" si="18"/>
        <v>0.58559591035200587</v>
      </c>
      <c r="N71" s="34">
        <f t="shared" si="19"/>
        <v>11.829634321142978</v>
      </c>
      <c r="O71" s="34"/>
    </row>
    <row r="72" spans="1:15" x14ac:dyDescent="0.2">
      <c r="A72">
        <v>68</v>
      </c>
      <c r="B72">
        <v>87</v>
      </c>
      <c r="C72">
        <f t="shared" si="12"/>
        <v>3.6234949738448735E-2</v>
      </c>
      <c r="D72">
        <f t="shared" si="13"/>
        <v>1.312971582547906E-3</v>
      </c>
      <c r="E72">
        <v>0.14688999999999999</v>
      </c>
      <c r="F72">
        <f t="shared" si="11"/>
        <v>0.85311000000000003</v>
      </c>
      <c r="G72" s="34">
        <f t="shared" si="14"/>
        <v>0.15853870559254998</v>
      </c>
      <c r="H72" s="72">
        <f t="shared" si="15"/>
        <v>5.7446420287447699E-3</v>
      </c>
      <c r="I72" s="72">
        <v>791.89934270052572</v>
      </c>
      <c r="J72" s="73">
        <f t="shared" si="16"/>
        <v>20.239066055492575</v>
      </c>
      <c r="K72" s="73">
        <f t="shared" si="17"/>
        <v>409.61979479859178</v>
      </c>
      <c r="L72" s="34">
        <f t="shared" si="20"/>
        <v>2.7297476837089784E-2</v>
      </c>
      <c r="M72" s="34">
        <f t="shared" si="18"/>
        <v>0.55247543685413869</v>
      </c>
      <c r="N72" s="34">
        <f t="shared" si="19"/>
        <v>11.18158686052803</v>
      </c>
      <c r="O72" s="34"/>
    </row>
    <row r="73" spans="1:15" x14ac:dyDescent="0.2">
      <c r="A73">
        <v>69</v>
      </c>
      <c r="B73">
        <v>88</v>
      </c>
      <c r="C73">
        <f t="shared" si="12"/>
        <v>3.4509475941379743E-2</v>
      </c>
      <c r="D73">
        <f t="shared" si="13"/>
        <v>1.1909039297486673E-3</v>
      </c>
      <c r="E73">
        <v>0.15981000000000001</v>
      </c>
      <c r="F73">
        <f t="shared" si="11"/>
        <v>0.84018999999999999</v>
      </c>
      <c r="G73" s="34">
        <f t="shared" si="14"/>
        <v>0.13320263505180457</v>
      </c>
      <c r="H73" s="72">
        <f t="shared" si="15"/>
        <v>4.5967531296486359E-3</v>
      </c>
      <c r="I73" s="72">
        <v>802.47708815801423</v>
      </c>
      <c r="J73" s="73">
        <f t="shared" si="16"/>
        <v>20.275301005231025</v>
      </c>
      <c r="K73" s="73">
        <f t="shared" si="17"/>
        <v>411.08783085272222</v>
      </c>
      <c r="L73" s="34">
        <f t="shared" si="20"/>
        <v>2.5336070540745412E-2</v>
      </c>
      <c r="M73" s="34">
        <f t="shared" si="18"/>
        <v>0.51369645650337958</v>
      </c>
      <c r="N73" s="34">
        <f t="shared" si="19"/>
        <v>10.415350280926589</v>
      </c>
      <c r="O73" s="34"/>
    </row>
    <row r="74" spans="1:15" x14ac:dyDescent="0.2">
      <c r="A74">
        <v>70</v>
      </c>
      <c r="B74">
        <v>89</v>
      </c>
      <c r="C74">
        <f t="shared" si="12"/>
        <v>3.2866167563218807E-2</v>
      </c>
      <c r="D74">
        <f t="shared" si="13"/>
        <v>1.080184970293576E-3</v>
      </c>
      <c r="E74">
        <v>0.17374999999999999</v>
      </c>
      <c r="F74">
        <f t="shared" si="11"/>
        <v>0.82625000000000004</v>
      </c>
      <c r="G74" s="34">
        <f t="shared" si="14"/>
        <v>0.11005867721155353</v>
      </c>
      <c r="H74" s="72">
        <f t="shared" si="15"/>
        <v>3.6172069270211295E-3</v>
      </c>
      <c r="I74" s="72">
        <v>812.66096022194552</v>
      </c>
      <c r="J74" s="73">
        <f t="shared" si="16"/>
        <v>20.309810481172402</v>
      </c>
      <c r="K74" s="73">
        <f t="shared" si="17"/>
        <v>412.48840178114034</v>
      </c>
      <c r="L74" s="34">
        <f t="shared" si="20"/>
        <v>2.3143957840251042E-2</v>
      </c>
      <c r="M74" s="34">
        <f t="shared" si="18"/>
        <v>0.47004939751974278</v>
      </c>
      <c r="N74" s="34">
        <f t="shared" si="19"/>
        <v>9.5466141804152453</v>
      </c>
      <c r="O74" s="34"/>
    </row>
    <row r="75" spans="1:15" x14ac:dyDescent="0.2">
      <c r="A75">
        <v>71</v>
      </c>
      <c r="B75">
        <v>90</v>
      </c>
      <c r="C75">
        <f t="shared" si="12"/>
        <v>3.1301111964970284E-2</v>
      </c>
      <c r="D75">
        <f t="shared" si="13"/>
        <v>9.7975961024360583E-4</v>
      </c>
      <c r="E75">
        <v>0.18877000000000002</v>
      </c>
      <c r="F75">
        <f t="shared" si="11"/>
        <v>0.81123000000000001</v>
      </c>
      <c r="G75" s="34">
        <f t="shared" si="14"/>
        <v>8.9282900714328567E-2</v>
      </c>
      <c r="H75" s="72">
        <f t="shared" si="15"/>
        <v>2.7946540718165238E-3</v>
      </c>
      <c r="I75" s="72">
        <v>822.44293917164089</v>
      </c>
      <c r="J75" s="73">
        <f t="shared" si="16"/>
        <v>20.342676648735623</v>
      </c>
      <c r="K75" s="73">
        <f t="shared" si="17"/>
        <v>413.82449323501356</v>
      </c>
      <c r="L75" s="34">
        <f t="shared" si="20"/>
        <v>2.0775776497224962E-2</v>
      </c>
      <c r="M75" s="34">
        <f t="shared" si="18"/>
        <v>0.42263490340944859</v>
      </c>
      <c r="N75" s="34">
        <f t="shared" si="19"/>
        <v>8.5975251805280255</v>
      </c>
      <c r="O75" s="34"/>
    </row>
    <row r="76" spans="1:15" x14ac:dyDescent="0.2">
      <c r="A76">
        <v>72</v>
      </c>
      <c r="B76">
        <v>91</v>
      </c>
      <c r="C76">
        <f t="shared" si="12"/>
        <v>2.9810582823781222E-2</v>
      </c>
      <c r="D76">
        <f t="shared" si="13"/>
        <v>8.8867084829352E-4</v>
      </c>
      <c r="E76">
        <v>0.20493</v>
      </c>
      <c r="F76">
        <f t="shared" si="11"/>
        <v>0.79506999999999994</v>
      </c>
      <c r="G76" s="34">
        <f t="shared" si="14"/>
        <v>7.0986155870941203E-2</v>
      </c>
      <c r="H76" s="72">
        <f t="shared" si="15"/>
        <v>2.1161386789325365E-3</v>
      </c>
      <c r="I76" s="72">
        <v>831.81698539690899</v>
      </c>
      <c r="J76" s="73">
        <f t="shared" si="16"/>
        <v>20.373977760700594</v>
      </c>
      <c r="K76" s="73">
        <f t="shared" si="17"/>
        <v>415.09896979352237</v>
      </c>
      <c r="L76" s="34">
        <f t="shared" si="20"/>
        <v>1.8296744843387353E-2</v>
      </c>
      <c r="M76" s="34">
        <f t="shared" si="18"/>
        <v>0.37277747253238719</v>
      </c>
      <c r="N76" s="34">
        <f t="shared" si="19"/>
        <v>7.5949599350650328</v>
      </c>
      <c r="O76" s="34"/>
    </row>
    <row r="77" spans="1:15" x14ac:dyDescent="0.2">
      <c r="A77">
        <v>73</v>
      </c>
      <c r="B77">
        <v>92</v>
      </c>
      <c r="C77">
        <f t="shared" si="12"/>
        <v>2.8391031260744024E-2</v>
      </c>
      <c r="D77">
        <f t="shared" si="13"/>
        <v>8.0605065604854437E-4</v>
      </c>
      <c r="E77">
        <v>0.22227000000000002</v>
      </c>
      <c r="F77">
        <f t="shared" si="11"/>
        <v>0.77773000000000003</v>
      </c>
      <c r="G77" s="34">
        <f t="shared" si="14"/>
        <v>5.5208063005507103E-2</v>
      </c>
      <c r="H77" s="72">
        <f t="shared" si="15"/>
        <v>1.567413842634478E-3</v>
      </c>
      <c r="I77" s="72">
        <v>840.77851114218242</v>
      </c>
      <c r="J77" s="73">
        <f t="shared" si="16"/>
        <v>20.403788343524372</v>
      </c>
      <c r="K77" s="73">
        <f t="shared" si="17"/>
        <v>416.31457876734106</v>
      </c>
      <c r="L77" s="34">
        <f t="shared" si="20"/>
        <v>1.5778092865434103E-2</v>
      </c>
      <c r="M77" s="34">
        <f t="shared" si="18"/>
        <v>0.3219328672907894</v>
      </c>
      <c r="N77" s="34">
        <f t="shared" si="19"/>
        <v>6.5686500850251877</v>
      </c>
      <c r="O77" s="34"/>
    </row>
    <row r="78" spans="1:15" x14ac:dyDescent="0.2">
      <c r="A78">
        <v>74</v>
      </c>
      <c r="B78">
        <v>93</v>
      </c>
      <c r="C78">
        <f t="shared" si="12"/>
        <v>2.7039077391184781E-2</v>
      </c>
      <c r="D78">
        <f t="shared" si="13"/>
        <v>7.3111170616648E-4</v>
      </c>
      <c r="E78">
        <v>0.24086000000000002</v>
      </c>
      <c r="F78">
        <f t="shared" si="11"/>
        <v>0.75913999999999993</v>
      </c>
      <c r="G78" s="34">
        <f t="shared" si="14"/>
        <v>4.1910648950000656E-2</v>
      </c>
      <c r="H78" s="72">
        <f t="shared" si="15"/>
        <v>1.133225280473845E-3</v>
      </c>
      <c r="I78" s="72">
        <v>849.32734552930935</v>
      </c>
      <c r="J78" s="73">
        <f t="shared" si="16"/>
        <v>20.432179374785118</v>
      </c>
      <c r="K78" s="73">
        <f t="shared" si="17"/>
        <v>417.4739540033944</v>
      </c>
      <c r="L78" s="34">
        <f t="shared" si="20"/>
        <v>1.3297414055506442E-2</v>
      </c>
      <c r="M78" s="34">
        <f t="shared" si="18"/>
        <v>0.27169514920289645</v>
      </c>
      <c r="N78" s="34">
        <f t="shared" si="19"/>
        <v>5.5513240237725867</v>
      </c>
      <c r="O78" s="34"/>
    </row>
    <row r="79" spans="1:15" x14ac:dyDescent="0.2">
      <c r="A79">
        <v>75</v>
      </c>
      <c r="B79">
        <v>94</v>
      </c>
      <c r="C79">
        <f t="shared" si="12"/>
        <v>2.5751502277318841E-2</v>
      </c>
      <c r="D79">
        <f t="shared" si="13"/>
        <v>6.6313986953875738E-4</v>
      </c>
      <c r="E79">
        <v>0.26073000000000002</v>
      </c>
      <c r="F79">
        <f t="shared" si="11"/>
        <v>0.73926999999999998</v>
      </c>
      <c r="G79" s="34">
        <f t="shared" si="14"/>
        <v>3.0983285449266984E-2</v>
      </c>
      <c r="H79" s="72">
        <f t="shared" si="15"/>
        <v>7.9786614580561839E-4</v>
      </c>
      <c r="I79" s="72">
        <v>857.46187739679272</v>
      </c>
      <c r="J79" s="73">
        <f t="shared" si="16"/>
        <v>20.459218452176305</v>
      </c>
      <c r="K79" s="73">
        <f t="shared" si="17"/>
        <v>418.57961967387143</v>
      </c>
      <c r="L79" s="34">
        <f t="shared" si="20"/>
        <v>1.0927363500733672E-2</v>
      </c>
      <c r="M79" s="34">
        <f t="shared" si="18"/>
        <v>0.2235653169678482</v>
      </c>
      <c r="N79" s="34">
        <f t="shared" si="19"/>
        <v>4.5739716581752452</v>
      </c>
      <c r="O79" s="34"/>
    </row>
    <row r="80" spans="1:15" x14ac:dyDescent="0.2">
      <c r="A80">
        <v>76</v>
      </c>
      <c r="B80">
        <v>95</v>
      </c>
      <c r="C80">
        <f t="shared" si="12"/>
        <v>2.4525240264113179E-2</v>
      </c>
      <c r="D80">
        <f t="shared" si="13"/>
        <v>6.0148741001247834E-4</v>
      </c>
      <c r="E80">
        <v>0.28191000000000005</v>
      </c>
      <c r="F80">
        <f t="shared" si="11"/>
        <v>0.7180899999999999</v>
      </c>
      <c r="G80" s="34">
        <f t="shared" si="14"/>
        <v>2.2248787448264126E-2</v>
      </c>
      <c r="H80" s="72">
        <f t="shared" si="15"/>
        <v>5.4565685775386332E-4</v>
      </c>
      <c r="I80" s="72">
        <v>865.18435121801872</v>
      </c>
      <c r="J80" s="73">
        <f t="shared" si="16"/>
        <v>20.484969954453621</v>
      </c>
      <c r="K80" s="73">
        <f t="shared" si="17"/>
        <v>419.63399403486761</v>
      </c>
      <c r="L80" s="34">
        <f t="shared" si="20"/>
        <v>8.7344980010028578E-3</v>
      </c>
      <c r="M80" s="34">
        <f t="shared" si="18"/>
        <v>0.17892592911777877</v>
      </c>
      <c r="N80" s="34">
        <f t="shared" si="19"/>
        <v>3.6652922820503964</v>
      </c>
      <c r="O80" s="34"/>
    </row>
    <row r="81" spans="1:15" x14ac:dyDescent="0.2">
      <c r="A81">
        <v>77</v>
      </c>
      <c r="B81">
        <v>96</v>
      </c>
      <c r="C81">
        <f t="shared" si="12"/>
        <v>2.3357371680107788E-2</v>
      </c>
      <c r="D81">
        <f t="shared" si="13"/>
        <v>5.4556681180270127E-4</v>
      </c>
      <c r="E81">
        <v>0.30445</v>
      </c>
      <c r="F81">
        <f t="shared" si="11"/>
        <v>0.69555</v>
      </c>
      <c r="G81" s="34">
        <f t="shared" si="14"/>
        <v>1.5475144109640113E-2</v>
      </c>
      <c r="H81" s="72">
        <f t="shared" si="15"/>
        <v>3.6145869277209484E-4</v>
      </c>
      <c r="I81" s="72">
        <v>872.49980488871086</v>
      </c>
      <c r="J81" s="73">
        <f t="shared" si="16"/>
        <v>20.509495194717736</v>
      </c>
      <c r="K81" s="73">
        <f t="shared" si="17"/>
        <v>420.63939314214991</v>
      </c>
      <c r="L81" s="34">
        <f t="shared" si="20"/>
        <v>6.7736433386240136E-3</v>
      </c>
      <c r="M81" s="34">
        <f t="shared" si="18"/>
        <v>0.138924005504241</v>
      </c>
      <c r="N81" s="34">
        <f t="shared" si="19"/>
        <v>2.8492612233201715</v>
      </c>
      <c r="O81" s="34"/>
    </row>
    <row r="82" spans="1:15" x14ac:dyDescent="0.2">
      <c r="A82">
        <v>78</v>
      </c>
      <c r="B82">
        <v>97</v>
      </c>
      <c r="C82">
        <f t="shared" si="12"/>
        <v>2.224511588581694E-2</v>
      </c>
      <c r="D82">
        <f t="shared" si="13"/>
        <v>4.9484518077342514E-4</v>
      </c>
      <c r="E82">
        <v>0.32833999999999997</v>
      </c>
      <c r="F82">
        <f t="shared" si="11"/>
        <v>0.67166000000000003</v>
      </c>
      <c r="G82" s="34">
        <f t="shared" si="14"/>
        <v>1.0394035292680879E-2</v>
      </c>
      <c r="H82" s="72">
        <f t="shared" si="15"/>
        <v>2.3121651960695736E-4</v>
      </c>
      <c r="I82" s="72">
        <v>879.41131342976519</v>
      </c>
      <c r="J82" s="73">
        <f t="shared" si="16"/>
        <v>20.532852566397843</v>
      </c>
      <c r="K82" s="73">
        <f t="shared" si="17"/>
        <v>421.59803451343049</v>
      </c>
      <c r="L82" s="34">
        <f t="shared" si="20"/>
        <v>5.0811088169592337E-3</v>
      </c>
      <c r="M82" s="34">
        <f t="shared" si="18"/>
        <v>0.10432965821244811</v>
      </c>
      <c r="N82" s="34">
        <f t="shared" si="19"/>
        <v>2.1421854903788748</v>
      </c>
      <c r="O82" s="34"/>
    </row>
    <row r="83" spans="1:15" x14ac:dyDescent="0.2">
      <c r="A83">
        <v>79</v>
      </c>
      <c r="B83">
        <v>98</v>
      </c>
      <c r="C83">
        <f t="shared" si="12"/>
        <v>2.1185824653158991E-2</v>
      </c>
      <c r="D83">
        <f t="shared" si="13"/>
        <v>4.4883916623439927E-4</v>
      </c>
      <c r="E83">
        <v>0.35360000000000003</v>
      </c>
      <c r="F83">
        <f t="shared" si="11"/>
        <v>0.64639999999999997</v>
      </c>
      <c r="G83" s="34">
        <f t="shared" si="14"/>
        <v>6.7187044131889195E-3</v>
      </c>
      <c r="H83" s="72">
        <f t="shared" si="15"/>
        <v>1.4234129359422593E-4</v>
      </c>
      <c r="I83" s="72">
        <v>885.9266756043038</v>
      </c>
      <c r="J83" s="73">
        <f t="shared" si="16"/>
        <v>20.555097682283659</v>
      </c>
      <c r="K83" s="73">
        <f t="shared" si="17"/>
        <v>422.51204072822304</v>
      </c>
      <c r="L83" s="34">
        <f t="shared" si="20"/>
        <v>3.675330879491959E-3</v>
      </c>
      <c r="M83" s="34">
        <f t="shared" si="18"/>
        <v>7.5546785242670722E-2</v>
      </c>
      <c r="N83" s="34">
        <f t="shared" si="19"/>
        <v>1.5528715502456023</v>
      </c>
      <c r="O83" s="34"/>
    </row>
    <row r="84" spans="1:15" x14ac:dyDescent="0.2">
      <c r="A84">
        <v>80</v>
      </c>
      <c r="B84">
        <v>99</v>
      </c>
      <c r="C84">
        <f t="shared" si="12"/>
        <v>2.0176975860151419E-2</v>
      </c>
      <c r="D84">
        <f t="shared" si="13"/>
        <v>4.0711035486113307E-4</v>
      </c>
      <c r="E84">
        <v>0.38019999999999998</v>
      </c>
      <c r="F84">
        <f t="shared" si="11"/>
        <v>0.61980000000000002</v>
      </c>
      <c r="G84" s="34">
        <f t="shared" si="14"/>
        <v>4.164252995294492E-3</v>
      </c>
      <c r="H84" s="72">
        <f t="shared" si="15"/>
        <v>8.4022032161620199E-5</v>
      </c>
      <c r="I84" s="72">
        <v>892.05207494245133</v>
      </c>
      <c r="J84" s="73">
        <f t="shared" si="16"/>
        <v>20.576283506936822</v>
      </c>
      <c r="K84" s="73">
        <f t="shared" si="17"/>
        <v>423.38344295784026</v>
      </c>
      <c r="L84" s="34">
        <f t="shared" si="20"/>
        <v>2.5544514178944271E-3</v>
      </c>
      <c r="M84" s="34">
        <f t="shared" si="18"/>
        <v>5.256111657929248E-2</v>
      </c>
      <c r="N84" s="34">
        <f t="shared" si="19"/>
        <v>1.0815124361766792</v>
      </c>
      <c r="O84" s="34"/>
    </row>
    <row r="85" spans="1:15" x14ac:dyDescent="0.2">
      <c r="A85">
        <v>81</v>
      </c>
      <c r="B85">
        <v>100</v>
      </c>
      <c r="C85">
        <f t="shared" si="12"/>
        <v>1.9216167485858495E-2</v>
      </c>
      <c r="D85">
        <f t="shared" si="13"/>
        <v>3.6926109284456522E-4</v>
      </c>
      <c r="E85">
        <v>0.40811999999999998</v>
      </c>
      <c r="F85">
        <f t="shared" si="11"/>
        <v>0.59187999999999996</v>
      </c>
      <c r="G85" s="34">
        <f t="shared" si="14"/>
        <v>2.4647380628549037E-3</v>
      </c>
      <c r="H85" s="72">
        <f t="shared" si="15"/>
        <v>4.7362819424590252E-5</v>
      </c>
      <c r="I85" s="72">
        <v>897.79579009043891</v>
      </c>
      <c r="J85" s="73">
        <f t="shared" si="16"/>
        <v>20.596460482796971</v>
      </c>
      <c r="K85" s="73">
        <f t="shared" si="17"/>
        <v>424.21418441941722</v>
      </c>
      <c r="L85" s="34">
        <f t="shared" si="20"/>
        <v>1.6995149324395881E-3</v>
      </c>
      <c r="M85" s="34">
        <f t="shared" si="18"/>
        <v>3.500399214591534E-2</v>
      </c>
      <c r="N85" s="34">
        <f t="shared" si="19"/>
        <v>0.72095834097348077</v>
      </c>
      <c r="O85" s="34"/>
    </row>
    <row r="86" spans="1:15" x14ac:dyDescent="0.2">
      <c r="A86">
        <v>82</v>
      </c>
      <c r="B86">
        <v>101</v>
      </c>
      <c r="C86">
        <f t="shared" si="12"/>
        <v>1.8301111891293805E-2</v>
      </c>
      <c r="D86">
        <f t="shared" si="13"/>
        <v>3.3493069645765548E-4</v>
      </c>
      <c r="E86">
        <v>0.43727999999999995</v>
      </c>
      <c r="F86">
        <f t="shared" si="11"/>
        <v>0.56272000000000011</v>
      </c>
      <c r="G86" s="34">
        <f t="shared" si="14"/>
        <v>1.3869574027297116E-3</v>
      </c>
      <c r="H86" s="72">
        <f t="shared" si="15"/>
        <v>2.5382862615814694E-5</v>
      </c>
      <c r="I86" s="72">
        <v>903.16316048076953</v>
      </c>
      <c r="J86" s="73">
        <f t="shared" si="16"/>
        <v>20.615676650282829</v>
      </c>
      <c r="K86" s="73">
        <f t="shared" si="17"/>
        <v>425.00612374901664</v>
      </c>
      <c r="L86" s="34">
        <f t="shared" si="20"/>
        <v>1.0777806601251921E-3</v>
      </c>
      <c r="M86" s="34">
        <f t="shared" si="18"/>
        <v>2.2219177589069338E-2</v>
      </c>
      <c r="N86" s="34">
        <f t="shared" si="19"/>
        <v>0.45806338061146423</v>
      </c>
      <c r="O86" s="34"/>
    </row>
    <row r="87" spans="1:15" x14ac:dyDescent="0.2">
      <c r="A87">
        <v>83</v>
      </c>
      <c r="B87">
        <v>102</v>
      </c>
      <c r="C87">
        <f t="shared" si="12"/>
        <v>1.7429630372660765E-2</v>
      </c>
      <c r="D87">
        <f t="shared" si="13"/>
        <v>3.0379201492757864E-4</v>
      </c>
      <c r="E87">
        <v>0.46761000000000003</v>
      </c>
      <c r="F87">
        <f t="shared" si="11"/>
        <v>0.53238999999999992</v>
      </c>
      <c r="G87" s="34">
        <f t="shared" si="14"/>
        <v>7.3840225163927103E-4</v>
      </c>
      <c r="H87" s="72">
        <f t="shared" si="15"/>
        <v>1.2870078312412936E-5</v>
      </c>
      <c r="I87" s="72">
        <v>908.158599194884</v>
      </c>
      <c r="J87" s="73">
        <f t="shared" si="16"/>
        <v>20.633977762174119</v>
      </c>
      <c r="K87" s="73">
        <f t="shared" si="17"/>
        <v>425.76103828989608</v>
      </c>
      <c r="L87" s="34">
        <f t="shared" si="20"/>
        <v>6.4855515109044049E-4</v>
      </c>
      <c r="M87" s="34">
        <f t="shared" si="18"/>
        <v>1.3382272565143625E-2</v>
      </c>
      <c r="N87" s="34">
        <f t="shared" si="19"/>
        <v>0.2761295145165264</v>
      </c>
      <c r="O87" s="34"/>
    </row>
    <row r="88" spans="1:15" x14ac:dyDescent="0.2">
      <c r="A88">
        <v>84</v>
      </c>
      <c r="B88">
        <v>103</v>
      </c>
      <c r="C88">
        <f t="shared" si="12"/>
        <v>1.6599647973962631E-2</v>
      </c>
      <c r="D88">
        <f t="shared" si="13"/>
        <v>2.7554831285948167E-4</v>
      </c>
      <c r="E88">
        <v>0.49898999999999999</v>
      </c>
      <c r="F88">
        <f t="shared" si="11"/>
        <v>0.50100999999999996</v>
      </c>
      <c r="G88" s="34">
        <f t="shared" si="14"/>
        <v>3.6994691209379113E-4</v>
      </c>
      <c r="H88" s="72">
        <f t="shared" si="15"/>
        <v>6.140988509811432E-6</v>
      </c>
      <c r="I88" s="72">
        <v>912.77526120105279</v>
      </c>
      <c r="J88" s="73">
        <f t="shared" si="16"/>
        <v>20.651407392546783</v>
      </c>
      <c r="K88" s="73">
        <f t="shared" si="17"/>
        <v>426.48062729293594</v>
      </c>
      <c r="L88" s="34">
        <f t="shared" si="20"/>
        <v>3.6845533954547985E-4</v>
      </c>
      <c r="M88" s="34">
        <f t="shared" si="18"/>
        <v>7.6091213229128579E-3</v>
      </c>
      <c r="N88" s="34">
        <f t="shared" si="19"/>
        <v>0.15713906433878794</v>
      </c>
      <c r="O88" s="34"/>
    </row>
    <row r="89" spans="1:15" x14ac:dyDescent="0.2">
      <c r="A89">
        <v>85</v>
      </c>
      <c r="B89">
        <v>104</v>
      </c>
      <c r="C89">
        <f t="shared" si="12"/>
        <v>1.5809188546631076E-2</v>
      </c>
      <c r="D89">
        <f t="shared" si="13"/>
        <v>2.499304425029312E-4</v>
      </c>
      <c r="E89">
        <v>0.53127999999999997</v>
      </c>
      <c r="F89">
        <f t="shared" si="11"/>
        <v>0.46872000000000003</v>
      </c>
      <c r="G89" s="34">
        <f t="shared" si="14"/>
        <v>1.734015166366018E-4</v>
      </c>
      <c r="H89" s="72">
        <f t="shared" si="15"/>
        <v>2.7413372707798232E-6</v>
      </c>
      <c r="I89" s="72">
        <v>916.98031657364834</v>
      </c>
      <c r="J89" s="73">
        <f t="shared" si="16"/>
        <v>20.668007040520749</v>
      </c>
      <c r="K89" s="73">
        <f t="shared" si="17"/>
        <v>427.16651502701524</v>
      </c>
      <c r="L89" s="34">
        <f t="shared" si="20"/>
        <v>1.9654539545718933E-4</v>
      </c>
      <c r="M89" s="34">
        <f t="shared" si="18"/>
        <v>4.0622016170911235E-3</v>
      </c>
      <c r="N89" s="34">
        <f t="shared" si="19"/>
        <v>8.3957611622054118E-2</v>
      </c>
      <c r="O89" s="34"/>
    </row>
    <row r="90" spans="1:15" x14ac:dyDescent="0.2">
      <c r="A90">
        <v>86</v>
      </c>
      <c r="B90">
        <v>105</v>
      </c>
      <c r="C90">
        <f t="shared" si="12"/>
        <v>1.5056370044410549E-2</v>
      </c>
      <c r="D90">
        <f t="shared" si="13"/>
        <v>2.2669427891422334E-4</v>
      </c>
      <c r="E90">
        <v>0.56428999999999996</v>
      </c>
      <c r="F90">
        <f t="shared" si="11"/>
        <v>0.43571000000000004</v>
      </c>
      <c r="G90" s="34">
        <f t="shared" si="14"/>
        <v>7.5552774813733773E-5</v>
      </c>
      <c r="H90" s="72">
        <f t="shared" si="15"/>
        <v>1.1375505354775969E-6</v>
      </c>
      <c r="I90" s="72">
        <v>920.6646437157757</v>
      </c>
      <c r="J90" s="73">
        <f t="shared" si="16"/>
        <v>20.683816229067379</v>
      </c>
      <c r="K90" s="73">
        <f t="shared" si="17"/>
        <v>427.82025379783107</v>
      </c>
      <c r="L90" s="34">
        <f t="shared" si="20"/>
        <v>9.7848741822868028E-5</v>
      </c>
      <c r="M90" s="34">
        <f t="shared" si="18"/>
        <v>2.0238853941096616E-3</v>
      </c>
      <c r="N90" s="34">
        <f t="shared" si="19"/>
        <v>4.1861673560457849E-2</v>
      </c>
      <c r="O90" s="34"/>
    </row>
    <row r="91" spans="1:15" x14ac:dyDescent="0.2">
      <c r="A91">
        <v>87</v>
      </c>
      <c r="B91">
        <v>106</v>
      </c>
      <c r="C91">
        <f t="shared" si="12"/>
        <v>1.4339400042295759E-2</v>
      </c>
      <c r="D91">
        <f t="shared" si="13"/>
        <v>2.0561839357299163E-4</v>
      </c>
      <c r="E91">
        <v>0.59783000000000008</v>
      </c>
      <c r="F91">
        <f t="shared" si="11"/>
        <v>0.40216999999999992</v>
      </c>
      <c r="G91" s="34">
        <f t="shared" si="14"/>
        <v>3.0385059446839305E-5</v>
      </c>
      <c r="H91" s="72">
        <f t="shared" si="15"/>
        <v>4.3570352271716668E-7</v>
      </c>
      <c r="I91" s="72">
        <v>923.49273412515947</v>
      </c>
      <c r="J91" s="73">
        <f t="shared" si="16"/>
        <v>20.698872599111787</v>
      </c>
      <c r="K91" s="73">
        <f t="shared" si="17"/>
        <v>428.44332687426078</v>
      </c>
      <c r="L91" s="34">
        <f t="shared" si="20"/>
        <v>4.5167715366894468E-5</v>
      </c>
      <c r="M91" s="34">
        <f t="shared" si="18"/>
        <v>9.3492078597229235E-4</v>
      </c>
      <c r="N91" s="34">
        <f t="shared" si="19"/>
        <v>1.9351806239101939E-2</v>
      </c>
      <c r="O91" s="34"/>
    </row>
    <row r="92" spans="1:15" x14ac:dyDescent="0.2">
      <c r="A92">
        <v>88</v>
      </c>
      <c r="B92">
        <v>107</v>
      </c>
      <c r="C92">
        <f t="shared" si="12"/>
        <v>1.3656571468853105E-2</v>
      </c>
      <c r="D92">
        <f t="shared" si="13"/>
        <v>1.8650194428389266E-4</v>
      </c>
      <c r="E92">
        <v>0.63163999999999998</v>
      </c>
      <c r="F92">
        <f t="shared" si="11"/>
        <v>0.36836000000000002</v>
      </c>
      <c r="G92" s="34">
        <f t="shared" si="14"/>
        <v>1.1192640497837727E-5</v>
      </c>
      <c r="H92" s="72">
        <f t="shared" si="15"/>
        <v>1.5285309488390053E-7</v>
      </c>
      <c r="I92" s="72">
        <v>924.39008686262002</v>
      </c>
      <c r="J92" s="73">
        <f t="shared" si="16"/>
        <v>20.713211999154083</v>
      </c>
      <c r="K92" s="73">
        <f t="shared" si="17"/>
        <v>429.03715132190069</v>
      </c>
      <c r="L92" s="34">
        <f t="shared" si="20"/>
        <v>1.9192418949001577E-5</v>
      </c>
      <c r="M92" s="34">
        <f t="shared" si="18"/>
        <v>3.9753664246725169E-4</v>
      </c>
      <c r="N92" s="34">
        <f t="shared" si="19"/>
        <v>8.234260752856104E-3</v>
      </c>
      <c r="O92" s="34"/>
    </row>
    <row r="93" spans="1:15" x14ac:dyDescent="0.2">
      <c r="A93">
        <v>89</v>
      </c>
      <c r="B93">
        <v>108</v>
      </c>
      <c r="C93">
        <f t="shared" si="12"/>
        <v>1.3006258541764862E-2</v>
      </c>
      <c r="D93">
        <f t="shared" si="13"/>
        <v>1.6916276125523142E-4</v>
      </c>
      <c r="E93">
        <v>0.6654500000000001</v>
      </c>
      <c r="F93">
        <f t="shared" si="11"/>
        <v>0.3345499999999999</v>
      </c>
      <c r="G93" s="34">
        <f t="shared" si="14"/>
        <v>3.7444978785516108E-6</v>
      </c>
      <c r="H93" s="72">
        <f t="shared" si="15"/>
        <v>4.8701907517532289E-8</v>
      </c>
      <c r="I93" s="72">
        <v>919.70378009362389</v>
      </c>
      <c r="J93" s="73">
        <f t="shared" si="16"/>
        <v>20.726868570622937</v>
      </c>
      <c r="K93" s="73">
        <f t="shared" si="17"/>
        <v>429.60308074387689</v>
      </c>
      <c r="L93" s="34">
        <f t="shared" si="20"/>
        <v>7.4481426192861172E-6</v>
      </c>
      <c r="M93" s="34">
        <f t="shared" si="18"/>
        <v>1.5437667316519862E-4</v>
      </c>
      <c r="N93" s="34">
        <f t="shared" si="19"/>
        <v>3.1997450150650845E-3</v>
      </c>
      <c r="O93" s="34"/>
    </row>
    <row r="94" spans="1:15" x14ac:dyDescent="0.2">
      <c r="A94">
        <v>90</v>
      </c>
      <c r="B94">
        <v>109</v>
      </c>
      <c r="C94">
        <f t="shared" si="12"/>
        <v>1.2386912896918914E-2</v>
      </c>
      <c r="D94">
        <f t="shared" si="13"/>
        <v>1.5343561111585613E-4</v>
      </c>
      <c r="E94">
        <v>0.69886999999999999</v>
      </c>
      <c r="F94">
        <f t="shared" si="11"/>
        <v>0.30113000000000001</v>
      </c>
      <c r="G94" s="34">
        <f t="shared" si="14"/>
        <v>1.1275806461682465E-6</v>
      </c>
      <c r="H94" s="72">
        <f t="shared" si="15"/>
        <v>1.3967243248337614E-8</v>
      </c>
      <c r="I94" s="72">
        <v>895.91970645985452</v>
      </c>
      <c r="J94" s="73">
        <f t="shared" si="16"/>
        <v>20.739874829164702</v>
      </c>
      <c r="K94" s="73">
        <f t="shared" si="17"/>
        <v>430.14240792941956</v>
      </c>
      <c r="L94" s="34">
        <f t="shared" si="20"/>
        <v>2.6169172323833643E-6</v>
      </c>
      <c r="M94" s="34">
        <f t="shared" si="18"/>
        <v>5.4274535837915091E-5</v>
      </c>
      <c r="N94" s="34">
        <f t="shared" si="19"/>
        <v>1.1256470796893727E-3</v>
      </c>
      <c r="O94" s="34"/>
    </row>
    <row r="95" spans="1:15" x14ac:dyDescent="0.2">
      <c r="A95">
        <v>91</v>
      </c>
      <c r="B95">
        <v>110</v>
      </c>
      <c r="C95">
        <f t="shared" si="12"/>
        <v>1.1797059901827537E-2</v>
      </c>
      <c r="D95">
        <f t="shared" si="13"/>
        <v>1.3917062232730713E-4</v>
      </c>
      <c r="E95">
        <v>0.73187000000000002</v>
      </c>
      <c r="F95">
        <f t="shared" si="11"/>
        <v>0.26812999999999998</v>
      </c>
      <c r="G95" s="34">
        <f t="shared" si="14"/>
        <v>3.0233819865709192E-7</v>
      </c>
      <c r="H95" s="72">
        <f t="shared" si="15"/>
        <v>3.566701840168347E-9</v>
      </c>
      <c r="I95" s="72">
        <v>798.07442466178532</v>
      </c>
      <c r="J95" s="73">
        <f t="shared" si="16"/>
        <v>20.75226174206162</v>
      </c>
      <c r="K95" s="73">
        <f t="shared" si="17"/>
        <v>430.65636741103441</v>
      </c>
      <c r="L95" s="34">
        <f t="shared" si="20"/>
        <v>8.2524244751115461E-7</v>
      </c>
      <c r="M95" s="34">
        <f t="shared" si="18"/>
        <v>1.712564727141103E-5</v>
      </c>
      <c r="N95" s="34">
        <f t="shared" si="19"/>
        <v>3.5539591467854509E-4</v>
      </c>
      <c r="O95" s="34"/>
    </row>
  </sheetData>
  <mergeCells count="1">
    <mergeCell ref="W3:W4"/>
  </mergeCells>
  <pageMargins left="0.75" right="0.75" top="1" bottom="1" header="0.5" footer="0.5"/>
  <pageSetup orientation="portrait" horizontalDpi="4294967292" verticalDpi="429496729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C23"/>
  <sheetViews>
    <sheetView workbookViewId="0">
      <selection activeCell="E28" sqref="E28"/>
    </sheetView>
  </sheetViews>
  <sheetFormatPr baseColWidth="10" defaultRowHeight="16" x14ac:dyDescent="0.2"/>
  <cols>
    <col min="3" max="3" width="14" customWidth="1"/>
  </cols>
  <sheetData>
    <row r="1" spans="1:3" x14ac:dyDescent="0.2">
      <c r="A1" s="117" t="s">
        <v>145</v>
      </c>
      <c r="B1" s="117"/>
      <c r="C1" s="117"/>
    </row>
    <row r="2" spans="1:3" x14ac:dyDescent="0.2">
      <c r="C2" t="s">
        <v>46</v>
      </c>
    </row>
    <row r="3" spans="1:3" x14ac:dyDescent="0.2">
      <c r="A3">
        <v>9</v>
      </c>
      <c r="B3" s="47">
        <v>9.1</v>
      </c>
    </row>
    <row r="4" spans="1:3" x14ac:dyDescent="0.2">
      <c r="B4" s="48" t="s">
        <v>118</v>
      </c>
      <c r="C4">
        <v>3</v>
      </c>
    </row>
    <row r="5" spans="1:3" x14ac:dyDescent="0.2">
      <c r="B5" s="48" t="s">
        <v>123</v>
      </c>
      <c r="C5">
        <v>3</v>
      </c>
    </row>
    <row r="6" spans="1:3" x14ac:dyDescent="0.2">
      <c r="B6" s="48" t="s">
        <v>124</v>
      </c>
      <c r="C6">
        <v>3</v>
      </c>
    </row>
    <row r="7" spans="1:3" x14ac:dyDescent="0.2">
      <c r="B7" s="47">
        <v>9.1999999999999993</v>
      </c>
    </row>
    <row r="8" spans="1:3" x14ac:dyDescent="0.2">
      <c r="B8" s="48" t="s">
        <v>130</v>
      </c>
      <c r="C8">
        <v>3</v>
      </c>
    </row>
    <row r="9" spans="1:3" x14ac:dyDescent="0.2">
      <c r="B9" s="48" t="s">
        <v>143</v>
      </c>
      <c r="C9">
        <v>3</v>
      </c>
    </row>
    <row r="10" spans="1:3" x14ac:dyDescent="0.2">
      <c r="A10" s="49" t="s">
        <v>144</v>
      </c>
      <c r="B10" s="49"/>
      <c r="C10" s="49">
        <f>SUM(C4:C9)</f>
        <v>15</v>
      </c>
    </row>
    <row r="11" spans="1:3" x14ac:dyDescent="0.2">
      <c r="A11" s="49"/>
      <c r="B11" s="49"/>
      <c r="C11" s="49"/>
    </row>
    <row r="12" spans="1:3" x14ac:dyDescent="0.2">
      <c r="A12">
        <v>10</v>
      </c>
      <c r="B12" s="47">
        <v>10.1</v>
      </c>
    </row>
    <row r="13" spans="1:3" x14ac:dyDescent="0.2">
      <c r="B13" s="48" t="s">
        <v>138</v>
      </c>
      <c r="C13">
        <v>3</v>
      </c>
    </row>
    <row r="14" spans="1:3" x14ac:dyDescent="0.2">
      <c r="B14" s="48" t="s">
        <v>139</v>
      </c>
      <c r="C14">
        <v>3</v>
      </c>
    </row>
    <row r="15" spans="1:3" x14ac:dyDescent="0.2">
      <c r="B15" s="48" t="s">
        <v>140</v>
      </c>
      <c r="C15">
        <v>3</v>
      </c>
    </row>
    <row r="16" spans="1:3" x14ac:dyDescent="0.2">
      <c r="B16" s="47">
        <v>10.199999999999999</v>
      </c>
    </row>
    <row r="17" spans="1:3" x14ac:dyDescent="0.2">
      <c r="B17" s="48" t="s">
        <v>141</v>
      </c>
      <c r="C17">
        <v>3</v>
      </c>
    </row>
    <row r="18" spans="1:3" x14ac:dyDescent="0.2">
      <c r="B18" s="48" t="s">
        <v>142</v>
      </c>
      <c r="C18">
        <v>3</v>
      </c>
    </row>
    <row r="19" spans="1:3" x14ac:dyDescent="0.2">
      <c r="A19" s="49" t="s">
        <v>146</v>
      </c>
      <c r="B19" s="49"/>
      <c r="C19" s="49">
        <f>SUM(C13:C18)</f>
        <v>15</v>
      </c>
    </row>
    <row r="20" spans="1:3" x14ac:dyDescent="0.2">
      <c r="A20" s="49"/>
      <c r="B20" s="49"/>
      <c r="C20" s="49"/>
    </row>
    <row r="21" spans="1:3" x14ac:dyDescent="0.2">
      <c r="A21" s="49"/>
      <c r="B21" s="49"/>
      <c r="C21" s="49"/>
    </row>
    <row r="23" spans="1:3" x14ac:dyDescent="0.2">
      <c r="A23" s="2" t="s">
        <v>62</v>
      </c>
      <c r="B23" s="2"/>
      <c r="C23" s="2">
        <f>C10+C19</f>
        <v>30</v>
      </c>
    </row>
  </sheetData>
  <mergeCells count="1">
    <mergeCell ref="A1:C1"/>
  </mergeCells>
  <pageMargins left="0.75" right="0.75" top="1" bottom="1" header="0.5" footer="0.5"/>
  <pageSetup orientation="portrait" horizontalDpi="4294967292" verticalDpi="429496729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S96"/>
  <sheetViews>
    <sheetView tabSelected="1" workbookViewId="0">
      <selection activeCell="D5" sqref="D5:D95"/>
    </sheetView>
  </sheetViews>
  <sheetFormatPr baseColWidth="10" defaultRowHeight="16" x14ac:dyDescent="0.2"/>
  <cols>
    <col min="4" max="4" width="9.1640625" customWidth="1"/>
    <col min="5" max="5" width="6.5" style="85" bestFit="1" customWidth="1"/>
    <col min="6" max="6" width="6.5" style="94" customWidth="1"/>
    <col min="7" max="7" width="9.1640625" customWidth="1"/>
    <col min="8" max="8" width="26.33203125" customWidth="1"/>
    <col min="9" max="9" width="20.5" customWidth="1"/>
    <col min="10" max="10" width="25.33203125" customWidth="1"/>
    <col min="11" max="15" width="21.6640625" customWidth="1"/>
    <col min="16" max="16" width="3.83203125" customWidth="1"/>
    <col min="17" max="17" width="3.1640625" customWidth="1"/>
    <col min="18" max="18" width="22" bestFit="1" customWidth="1"/>
    <col min="19" max="19" width="14.5" bestFit="1" customWidth="1"/>
  </cols>
  <sheetData>
    <row r="1" spans="1:19" x14ac:dyDescent="0.2">
      <c r="A1" s="2"/>
      <c r="E1" s="86"/>
      <c r="F1" s="93"/>
      <c r="H1" t="s">
        <v>148</v>
      </c>
    </row>
    <row r="2" spans="1:19" x14ac:dyDescent="0.2">
      <c r="E2" s="87"/>
      <c r="F2" s="92"/>
      <c r="H2" t="s">
        <v>147</v>
      </c>
      <c r="I2" t="s">
        <v>151</v>
      </c>
      <c r="J2" t="s">
        <v>152</v>
      </c>
      <c r="K2" t="s">
        <v>155</v>
      </c>
      <c r="L2" t="s">
        <v>153</v>
      </c>
      <c r="M2" t="s">
        <v>154</v>
      </c>
      <c r="N2" t="s">
        <v>163</v>
      </c>
      <c r="O2" t="s">
        <v>173</v>
      </c>
      <c r="R2" t="s">
        <v>166</v>
      </c>
    </row>
    <row r="3" spans="1:19" ht="16" customHeight="1" x14ac:dyDescent="0.2">
      <c r="B3" t="s">
        <v>66</v>
      </c>
      <c r="E3" s="87"/>
      <c r="F3" s="92"/>
      <c r="H3" t="s">
        <v>149</v>
      </c>
      <c r="I3" t="s">
        <v>150</v>
      </c>
      <c r="J3" t="s">
        <v>156</v>
      </c>
      <c r="K3" t="s">
        <v>159</v>
      </c>
      <c r="L3" t="s">
        <v>160</v>
      </c>
      <c r="M3" t="s">
        <v>161</v>
      </c>
      <c r="N3" t="s">
        <v>162</v>
      </c>
      <c r="O3" t="s">
        <v>174</v>
      </c>
      <c r="R3" t="s">
        <v>167</v>
      </c>
    </row>
    <row r="4" spans="1:19" x14ac:dyDescent="0.2">
      <c r="A4" t="s">
        <v>0</v>
      </c>
      <c r="B4" s="83" t="s">
        <v>164</v>
      </c>
      <c r="C4" s="83" t="s">
        <v>165</v>
      </c>
      <c r="D4" t="s">
        <v>9</v>
      </c>
      <c r="E4" s="83" t="s">
        <v>157</v>
      </c>
      <c r="F4" s="93"/>
      <c r="G4" t="s">
        <v>158</v>
      </c>
    </row>
    <row r="5" spans="1:19" x14ac:dyDescent="0.2">
      <c r="A5">
        <v>20</v>
      </c>
      <c r="B5" s="79">
        <v>65.28</v>
      </c>
      <c r="C5" s="79">
        <v>14.3</v>
      </c>
      <c r="D5" s="96">
        <v>1.0300000000000001E-3</v>
      </c>
      <c r="E5" s="88">
        <v>16.513300000000001</v>
      </c>
      <c r="F5" s="92"/>
      <c r="G5">
        <v>0</v>
      </c>
      <c r="H5" s="101"/>
      <c r="I5" s="102"/>
      <c r="J5" s="102"/>
      <c r="K5" s="102"/>
      <c r="L5" s="102"/>
      <c r="M5" s="102"/>
      <c r="N5" s="102"/>
      <c r="O5" s="103"/>
      <c r="R5" s="110"/>
      <c r="S5" s="109"/>
    </row>
    <row r="6" spans="1:19" x14ac:dyDescent="0.2">
      <c r="A6">
        <v>21</v>
      </c>
      <c r="B6" s="80">
        <v>68.239999999999995</v>
      </c>
      <c r="C6" s="80">
        <v>15.06</v>
      </c>
      <c r="D6" s="97">
        <v>1.06E-3</v>
      </c>
      <c r="E6" s="89">
        <v>16.461099999999998</v>
      </c>
      <c r="F6" s="92"/>
      <c r="G6">
        <v>1</v>
      </c>
      <c r="H6" s="104"/>
      <c r="I6" s="100"/>
      <c r="J6" s="100"/>
      <c r="K6" s="100"/>
      <c r="L6" s="100"/>
      <c r="M6" s="100"/>
      <c r="N6" s="100"/>
      <c r="O6" s="105"/>
      <c r="R6" s="111"/>
      <c r="S6" s="109"/>
    </row>
    <row r="7" spans="1:19" x14ac:dyDescent="0.2">
      <c r="A7">
        <v>22</v>
      </c>
      <c r="B7" s="81">
        <v>71.349999999999994</v>
      </c>
      <c r="C7" s="81">
        <v>15.87</v>
      </c>
      <c r="D7" s="98">
        <v>1.1000000000000001E-3</v>
      </c>
      <c r="E7" s="90">
        <v>16.406199999999998</v>
      </c>
      <c r="F7" s="92"/>
      <c r="G7">
        <v>2</v>
      </c>
      <c r="H7" s="104"/>
      <c r="I7" s="100"/>
      <c r="J7" s="100"/>
      <c r="K7" s="100"/>
      <c r="L7" s="100"/>
      <c r="M7" s="100"/>
      <c r="N7" s="100"/>
      <c r="O7" s="105"/>
      <c r="R7" s="111"/>
      <c r="S7" s="109"/>
    </row>
    <row r="8" spans="1:19" x14ac:dyDescent="0.2">
      <c r="A8">
        <v>23</v>
      </c>
      <c r="B8" s="81">
        <v>74.62</v>
      </c>
      <c r="C8" s="81">
        <v>16.760000000000002</v>
      </c>
      <c r="D8" s="98">
        <v>1.1299999999999999E-3</v>
      </c>
      <c r="E8" s="90">
        <v>16.348500000000001</v>
      </c>
      <c r="F8" s="92"/>
      <c r="G8">
        <v>3</v>
      </c>
      <c r="H8" s="104"/>
      <c r="I8" s="100"/>
      <c r="J8" s="100"/>
      <c r="K8" s="100"/>
      <c r="L8" s="100"/>
      <c r="M8" s="100"/>
      <c r="N8" s="100"/>
      <c r="O8" s="105"/>
      <c r="R8" s="111"/>
      <c r="S8" s="109"/>
    </row>
    <row r="9" spans="1:19" x14ac:dyDescent="0.2">
      <c r="A9">
        <v>24</v>
      </c>
      <c r="B9" s="81">
        <v>78.05</v>
      </c>
      <c r="C9" s="81">
        <v>17.71</v>
      </c>
      <c r="D9" s="98">
        <v>1.1799999999999998E-3</v>
      </c>
      <c r="E9" s="90">
        <v>16.2879</v>
      </c>
      <c r="F9" s="92"/>
      <c r="G9">
        <v>4</v>
      </c>
      <c r="H9" s="104"/>
      <c r="I9" s="100"/>
      <c r="J9" s="100"/>
      <c r="K9" s="100"/>
      <c r="L9" s="100"/>
      <c r="M9" s="100"/>
      <c r="N9" s="100"/>
      <c r="O9" s="105"/>
      <c r="R9" s="111"/>
      <c r="S9" s="109"/>
    </row>
    <row r="10" spans="1:19" x14ac:dyDescent="0.2">
      <c r="A10">
        <v>25</v>
      </c>
      <c r="B10" s="79">
        <v>81.650000000000006</v>
      </c>
      <c r="C10" s="79">
        <v>18.75</v>
      </c>
      <c r="D10" s="96">
        <v>1.2199999999999999E-3</v>
      </c>
      <c r="E10" s="88">
        <v>16.2242</v>
      </c>
      <c r="F10" s="92"/>
      <c r="G10">
        <v>5</v>
      </c>
      <c r="H10" s="104"/>
      <c r="I10" s="100"/>
      <c r="J10" s="100"/>
      <c r="K10" s="100"/>
      <c r="L10" s="100"/>
      <c r="M10" s="100"/>
      <c r="N10" s="100"/>
      <c r="O10" s="105"/>
      <c r="R10" s="111"/>
      <c r="S10" s="109"/>
    </row>
    <row r="11" spans="1:19" x14ac:dyDescent="0.2">
      <c r="A11">
        <v>26</v>
      </c>
      <c r="B11" s="80">
        <v>85.43</v>
      </c>
      <c r="C11" s="80">
        <v>19.87</v>
      </c>
      <c r="D11" s="97">
        <v>1.2700000000000001E-3</v>
      </c>
      <c r="E11" s="89">
        <v>16.157399999999999</v>
      </c>
      <c r="F11" s="92"/>
      <c r="G11">
        <v>6</v>
      </c>
      <c r="H11" s="104"/>
      <c r="I11" s="100"/>
      <c r="J11" s="100"/>
      <c r="K11" s="100"/>
      <c r="L11" s="100"/>
      <c r="M11" s="100"/>
      <c r="N11" s="100"/>
      <c r="O11" s="105"/>
      <c r="R11" s="111"/>
      <c r="S11" s="109"/>
    </row>
    <row r="12" spans="1:19" x14ac:dyDescent="0.2">
      <c r="A12">
        <v>27</v>
      </c>
      <c r="B12" s="81">
        <v>89.39</v>
      </c>
      <c r="C12" s="81">
        <v>21.07</v>
      </c>
      <c r="D12" s="98">
        <v>1.33E-3</v>
      </c>
      <c r="E12" s="90">
        <v>16.087399999999999</v>
      </c>
      <c r="F12" s="92"/>
      <c r="G12">
        <v>7</v>
      </c>
      <c r="H12" s="104"/>
      <c r="I12" s="100"/>
      <c r="J12" s="100"/>
      <c r="K12" s="100"/>
      <c r="L12" s="100"/>
      <c r="M12" s="100"/>
      <c r="N12" s="100"/>
      <c r="O12" s="105"/>
      <c r="R12" s="111"/>
      <c r="S12" s="109"/>
    </row>
    <row r="13" spans="1:19" x14ac:dyDescent="0.2">
      <c r="A13">
        <v>28</v>
      </c>
      <c r="B13" s="81">
        <v>93.55</v>
      </c>
      <c r="C13" s="81">
        <v>22.38</v>
      </c>
      <c r="D13" s="98">
        <v>1.39E-3</v>
      </c>
      <c r="E13" s="90">
        <v>16.0139</v>
      </c>
      <c r="F13" s="92"/>
      <c r="G13">
        <v>8</v>
      </c>
      <c r="H13" s="104"/>
      <c r="I13" s="100"/>
      <c r="J13" s="100"/>
      <c r="K13" s="100"/>
      <c r="L13" s="100"/>
      <c r="M13" s="100"/>
      <c r="N13" s="100"/>
      <c r="O13" s="105"/>
      <c r="R13" s="111"/>
      <c r="S13" s="109"/>
    </row>
    <row r="14" spans="1:19" x14ac:dyDescent="0.2">
      <c r="A14">
        <v>29</v>
      </c>
      <c r="B14" s="81">
        <v>97.91</v>
      </c>
      <c r="C14" s="81">
        <v>23.79</v>
      </c>
      <c r="D14" s="98">
        <v>1.4599999999999999E-3</v>
      </c>
      <c r="E14" s="90">
        <v>15.9369</v>
      </c>
      <c r="F14" s="92"/>
      <c r="G14">
        <v>9</v>
      </c>
      <c r="H14" s="104"/>
      <c r="I14" s="100"/>
      <c r="J14" s="100"/>
      <c r="K14" s="100"/>
      <c r="L14" s="100"/>
      <c r="M14" s="100"/>
      <c r="N14" s="100"/>
      <c r="O14" s="105"/>
      <c r="R14" s="111"/>
      <c r="S14" s="109"/>
    </row>
    <row r="15" spans="1:19" x14ac:dyDescent="0.2">
      <c r="A15">
        <v>30</v>
      </c>
      <c r="B15" s="79">
        <v>102.48</v>
      </c>
      <c r="C15" s="79">
        <v>25.31</v>
      </c>
      <c r="D15" s="96">
        <v>1.5300000000000001E-3</v>
      </c>
      <c r="E15" s="88">
        <v>15.856199999999999</v>
      </c>
      <c r="F15" s="92"/>
      <c r="G15">
        <v>10</v>
      </c>
      <c r="H15" s="104"/>
      <c r="I15" s="100"/>
      <c r="J15" s="100"/>
      <c r="K15" s="100"/>
      <c r="L15" s="100"/>
      <c r="M15" s="100"/>
      <c r="N15" s="100"/>
      <c r="O15" s="105"/>
      <c r="R15" s="111"/>
      <c r="S15" s="109"/>
    </row>
    <row r="16" spans="1:19" x14ac:dyDescent="0.2">
      <c r="A16">
        <v>31</v>
      </c>
      <c r="B16" s="80">
        <v>107.27</v>
      </c>
      <c r="C16" s="80">
        <v>26.95</v>
      </c>
      <c r="D16" s="97">
        <v>1.6100000000000001E-3</v>
      </c>
      <c r="E16" s="89">
        <v>15.771599999999999</v>
      </c>
      <c r="F16" s="92"/>
      <c r="G16">
        <v>11</v>
      </c>
      <c r="H16" s="104"/>
      <c r="I16" s="100"/>
      <c r="J16" s="100"/>
      <c r="K16" s="100"/>
      <c r="L16" s="100"/>
      <c r="M16" s="100"/>
      <c r="N16" s="100"/>
      <c r="O16" s="105"/>
      <c r="R16" s="111"/>
      <c r="S16" s="109"/>
    </row>
    <row r="17" spans="1:19" x14ac:dyDescent="0.2">
      <c r="A17">
        <v>32</v>
      </c>
      <c r="B17" s="81">
        <v>112.27</v>
      </c>
      <c r="C17" s="81">
        <v>28.72</v>
      </c>
      <c r="D17" s="98">
        <v>1.6999999999999999E-3</v>
      </c>
      <c r="E17" s="90">
        <v>15.683199999999999</v>
      </c>
      <c r="F17" s="92"/>
      <c r="G17">
        <v>12</v>
      </c>
      <c r="H17" s="104"/>
      <c r="I17" s="100"/>
      <c r="J17" s="100"/>
      <c r="K17" s="100"/>
      <c r="L17" s="100"/>
      <c r="M17" s="100"/>
      <c r="N17" s="100"/>
      <c r="O17" s="105"/>
      <c r="R17" s="111"/>
      <c r="S17" s="109"/>
    </row>
    <row r="18" spans="1:19" x14ac:dyDescent="0.2">
      <c r="A18">
        <v>33</v>
      </c>
      <c r="B18" s="81">
        <v>117.51</v>
      </c>
      <c r="C18" s="81">
        <v>30.63</v>
      </c>
      <c r="D18" s="98">
        <v>1.7900000000000001E-3</v>
      </c>
      <c r="E18" s="90">
        <v>15.5906</v>
      </c>
      <c r="F18" s="92"/>
      <c r="G18">
        <v>13</v>
      </c>
      <c r="H18" s="104"/>
      <c r="I18" s="100"/>
      <c r="J18" s="100"/>
      <c r="K18" s="100"/>
      <c r="L18" s="100"/>
      <c r="M18" s="100"/>
      <c r="N18" s="100"/>
      <c r="O18" s="105"/>
      <c r="R18" s="111"/>
      <c r="S18" s="109"/>
    </row>
    <row r="19" spans="1:19" x14ac:dyDescent="0.2">
      <c r="A19">
        <v>34</v>
      </c>
      <c r="B19" s="81">
        <v>122.99</v>
      </c>
      <c r="C19" s="81">
        <v>32.68</v>
      </c>
      <c r="D19" s="98">
        <v>1.9E-3</v>
      </c>
      <c r="E19" s="90">
        <v>15.4938</v>
      </c>
      <c r="F19" s="92"/>
      <c r="G19">
        <v>14</v>
      </c>
      <c r="H19" s="104"/>
      <c r="I19" s="100"/>
      <c r="J19" s="100"/>
      <c r="K19" s="100"/>
      <c r="L19" s="100"/>
      <c r="M19" s="100"/>
      <c r="N19" s="100"/>
      <c r="O19" s="105"/>
      <c r="R19" s="111"/>
      <c r="S19" s="109"/>
    </row>
    <row r="20" spans="1:19" x14ac:dyDescent="0.2">
      <c r="A20">
        <v>35</v>
      </c>
      <c r="B20" s="79">
        <v>128.72</v>
      </c>
      <c r="C20" s="79">
        <v>34.880000000000003</v>
      </c>
      <c r="D20" s="96">
        <v>2.0099999999999996E-3</v>
      </c>
      <c r="E20" s="88">
        <v>15.3927</v>
      </c>
      <c r="F20" s="92"/>
      <c r="G20">
        <v>15</v>
      </c>
      <c r="H20" s="104"/>
      <c r="I20" s="100"/>
      <c r="J20" s="100"/>
      <c r="K20" s="100"/>
      <c r="L20" s="100"/>
      <c r="M20" s="100"/>
      <c r="N20" s="100"/>
      <c r="O20" s="105"/>
      <c r="R20" s="111"/>
      <c r="S20" s="109"/>
    </row>
    <row r="21" spans="1:19" x14ac:dyDescent="0.2">
      <c r="A21">
        <v>36</v>
      </c>
      <c r="B21" s="80">
        <v>134.69999999999999</v>
      </c>
      <c r="C21" s="80">
        <v>37.26</v>
      </c>
      <c r="D21" s="97">
        <v>2.14E-3</v>
      </c>
      <c r="E21" s="89">
        <v>15.287000000000001</v>
      </c>
      <c r="F21" s="92"/>
      <c r="G21">
        <v>16</v>
      </c>
      <c r="H21" s="104"/>
      <c r="I21" s="100"/>
      <c r="J21" s="100"/>
      <c r="K21" s="100"/>
      <c r="L21" s="100"/>
      <c r="M21" s="100"/>
      <c r="N21" s="100"/>
      <c r="O21" s="105"/>
      <c r="R21" s="111"/>
      <c r="S21" s="109"/>
    </row>
    <row r="22" spans="1:19" x14ac:dyDescent="0.2">
      <c r="A22">
        <v>37</v>
      </c>
      <c r="B22" s="81">
        <v>140.94</v>
      </c>
      <c r="C22" s="81">
        <v>39.81</v>
      </c>
      <c r="D22" s="98">
        <v>2.2799999999999999E-3</v>
      </c>
      <c r="E22" s="90">
        <v>15.1767</v>
      </c>
      <c r="F22" s="92"/>
      <c r="G22">
        <v>17</v>
      </c>
      <c r="H22" s="104"/>
      <c r="I22" s="100"/>
      <c r="J22" s="100"/>
      <c r="K22" s="100"/>
      <c r="L22" s="100"/>
      <c r="M22" s="100"/>
      <c r="N22" s="100"/>
      <c r="O22" s="105"/>
      <c r="R22" s="111"/>
      <c r="S22" s="109"/>
    </row>
    <row r="23" spans="1:19" x14ac:dyDescent="0.2">
      <c r="A23">
        <v>38</v>
      </c>
      <c r="B23" s="81">
        <v>147.44999999999999</v>
      </c>
      <c r="C23" s="81">
        <v>42.54</v>
      </c>
      <c r="D23" s="98">
        <v>2.4300000000000003E-3</v>
      </c>
      <c r="E23" s="90">
        <v>15.0617</v>
      </c>
      <c r="F23" s="92"/>
      <c r="G23">
        <v>18</v>
      </c>
      <c r="H23" s="104"/>
      <c r="I23" s="100"/>
      <c r="J23" s="100"/>
      <c r="K23" s="100"/>
      <c r="L23" s="100"/>
      <c r="M23" s="100"/>
      <c r="N23" s="100"/>
      <c r="O23" s="105"/>
      <c r="R23" s="111"/>
      <c r="S23" s="109"/>
    </row>
    <row r="24" spans="1:19" x14ac:dyDescent="0.2">
      <c r="A24">
        <v>39</v>
      </c>
      <c r="B24" s="81">
        <v>154.24</v>
      </c>
      <c r="C24" s="81">
        <v>45.48</v>
      </c>
      <c r="D24" s="98">
        <v>2.5999999999999999E-3</v>
      </c>
      <c r="E24" s="90">
        <v>14.941700000000001</v>
      </c>
      <c r="F24" s="92"/>
      <c r="G24">
        <v>19</v>
      </c>
      <c r="H24" s="104"/>
      <c r="I24" s="100"/>
      <c r="J24" s="100"/>
      <c r="K24" s="100"/>
      <c r="L24" s="100"/>
      <c r="M24" s="100"/>
      <c r="N24" s="100"/>
      <c r="O24" s="105"/>
      <c r="R24" s="111"/>
      <c r="S24" s="109"/>
    </row>
    <row r="25" spans="1:19" x14ac:dyDescent="0.2">
      <c r="A25">
        <v>40</v>
      </c>
      <c r="B25" s="79">
        <v>161.32</v>
      </c>
      <c r="C25" s="79">
        <v>48.63</v>
      </c>
      <c r="D25" s="96">
        <v>2.7799999999999999E-3</v>
      </c>
      <c r="E25" s="88">
        <v>14.816700000000001</v>
      </c>
      <c r="F25" s="92"/>
      <c r="G25">
        <v>20</v>
      </c>
      <c r="H25" s="104"/>
      <c r="I25" s="100"/>
      <c r="J25" s="100"/>
      <c r="K25" s="100"/>
      <c r="L25" s="100"/>
      <c r="M25" s="100"/>
      <c r="N25" s="100"/>
      <c r="O25" s="105"/>
      <c r="R25" s="111"/>
      <c r="S25" s="109"/>
    </row>
    <row r="26" spans="1:19" x14ac:dyDescent="0.2">
      <c r="A26">
        <v>41</v>
      </c>
      <c r="B26" s="80">
        <v>168.69</v>
      </c>
      <c r="C26" s="80">
        <v>52.01</v>
      </c>
      <c r="D26" s="97">
        <v>2.98E-3</v>
      </c>
      <c r="E26" s="89">
        <v>14.686500000000001</v>
      </c>
      <c r="F26" s="92"/>
      <c r="G26">
        <v>21</v>
      </c>
      <c r="H26" s="104"/>
      <c r="I26" s="100"/>
      <c r="J26" s="100"/>
      <c r="K26" s="100"/>
      <c r="L26" s="100"/>
      <c r="M26" s="100"/>
      <c r="N26" s="100"/>
      <c r="O26" s="105"/>
      <c r="R26" s="111"/>
      <c r="S26" s="109"/>
    </row>
    <row r="27" spans="1:19" x14ac:dyDescent="0.2">
      <c r="A27">
        <v>42</v>
      </c>
      <c r="B27" s="81">
        <v>176.35</v>
      </c>
      <c r="C27" s="81">
        <v>55.62</v>
      </c>
      <c r="D27" s="98">
        <v>3.2000000000000002E-3</v>
      </c>
      <c r="E27" s="90">
        <v>14.5511</v>
      </c>
      <c r="F27" s="92"/>
      <c r="G27">
        <v>22</v>
      </c>
      <c r="H27" s="104"/>
      <c r="I27" s="100"/>
      <c r="J27" s="100"/>
      <c r="K27" s="100"/>
      <c r="L27" s="100"/>
      <c r="M27" s="100"/>
      <c r="N27" s="100"/>
      <c r="O27" s="105"/>
      <c r="R27" s="111"/>
      <c r="S27" s="109"/>
    </row>
    <row r="28" spans="1:19" x14ac:dyDescent="0.2">
      <c r="A28">
        <v>43</v>
      </c>
      <c r="B28" s="81">
        <v>184.32</v>
      </c>
      <c r="C28" s="81">
        <v>59.48</v>
      </c>
      <c r="D28" s="98">
        <v>3.4399999999999999E-3</v>
      </c>
      <c r="E28" s="90">
        <v>14.410299999999999</v>
      </c>
      <c r="F28" s="92"/>
      <c r="G28">
        <v>23</v>
      </c>
      <c r="H28" s="104"/>
      <c r="I28" s="100"/>
      <c r="J28" s="100"/>
      <c r="K28" s="100"/>
      <c r="L28" s="100"/>
      <c r="M28" s="100"/>
      <c r="N28" s="100"/>
      <c r="O28" s="105"/>
      <c r="R28" s="111"/>
      <c r="S28" s="109"/>
    </row>
    <row r="29" spans="1:19" x14ac:dyDescent="0.2">
      <c r="A29">
        <v>44</v>
      </c>
      <c r="B29" s="81">
        <v>192.6</v>
      </c>
      <c r="C29" s="81">
        <v>63.61</v>
      </c>
      <c r="D29" s="98">
        <v>3.7099999999999998E-3</v>
      </c>
      <c r="E29" s="90">
        <v>14.263999999999999</v>
      </c>
      <c r="F29" s="92"/>
      <c r="G29">
        <v>24</v>
      </c>
      <c r="H29" s="104"/>
      <c r="I29" s="100"/>
      <c r="J29" s="100"/>
      <c r="K29" s="100"/>
      <c r="L29" s="100"/>
      <c r="M29" s="100"/>
      <c r="N29" s="100"/>
      <c r="O29" s="105"/>
      <c r="R29" s="111"/>
      <c r="S29" s="109"/>
    </row>
    <row r="30" spans="1:19" x14ac:dyDescent="0.2">
      <c r="A30">
        <v>45</v>
      </c>
      <c r="B30" s="79">
        <v>201.2</v>
      </c>
      <c r="C30" s="79">
        <v>68.02</v>
      </c>
      <c r="D30" s="96">
        <v>4.0000000000000001E-3</v>
      </c>
      <c r="E30" s="88">
        <v>14.1122</v>
      </c>
      <c r="F30" s="92"/>
      <c r="G30">
        <v>25</v>
      </c>
      <c r="H30" s="104"/>
      <c r="I30" s="100"/>
      <c r="J30" s="100"/>
      <c r="K30" s="100"/>
      <c r="L30" s="100"/>
      <c r="M30" s="100"/>
      <c r="N30" s="100"/>
      <c r="O30" s="105"/>
      <c r="R30" s="111"/>
      <c r="S30" s="109"/>
    </row>
    <row r="31" spans="1:19" x14ac:dyDescent="0.2">
      <c r="A31">
        <v>46</v>
      </c>
      <c r="B31" s="80">
        <v>210.11</v>
      </c>
      <c r="C31" s="80">
        <v>72.72</v>
      </c>
      <c r="D31" s="97">
        <v>4.3099999999999996E-3</v>
      </c>
      <c r="E31" s="89">
        <v>13.954700000000001</v>
      </c>
      <c r="F31" s="92"/>
      <c r="G31">
        <v>26</v>
      </c>
      <c r="H31" s="104"/>
      <c r="I31" s="100"/>
      <c r="J31" s="100"/>
      <c r="K31" s="100"/>
      <c r="L31" s="100"/>
      <c r="M31" s="100"/>
      <c r="N31" s="100"/>
      <c r="O31" s="105"/>
      <c r="R31" s="111"/>
      <c r="S31" s="109"/>
    </row>
    <row r="32" spans="1:19" x14ac:dyDescent="0.2">
      <c r="A32">
        <v>47</v>
      </c>
      <c r="B32" s="81">
        <v>219.35</v>
      </c>
      <c r="C32" s="81">
        <v>77.73</v>
      </c>
      <c r="D32" s="98">
        <v>4.6600000000000001E-3</v>
      </c>
      <c r="E32" s="90">
        <v>13.791499999999999</v>
      </c>
      <c r="F32" s="92"/>
      <c r="G32">
        <v>27</v>
      </c>
      <c r="H32" s="104"/>
      <c r="I32" s="100"/>
      <c r="J32" s="100"/>
      <c r="K32" s="100"/>
      <c r="L32" s="100"/>
      <c r="M32" s="100"/>
      <c r="N32" s="100"/>
      <c r="O32" s="105"/>
      <c r="R32" s="111"/>
      <c r="S32" s="109"/>
    </row>
    <row r="33" spans="1:19" x14ac:dyDescent="0.2">
      <c r="A33">
        <v>48</v>
      </c>
      <c r="B33" s="81">
        <v>228.92</v>
      </c>
      <c r="C33" s="81">
        <v>83.06</v>
      </c>
      <c r="D33" s="98">
        <v>5.0400000000000002E-3</v>
      </c>
      <c r="E33" s="90">
        <v>13.6225</v>
      </c>
      <c r="F33" s="92"/>
      <c r="G33">
        <v>28</v>
      </c>
      <c r="H33" s="104"/>
      <c r="I33" s="100"/>
      <c r="J33" s="100"/>
      <c r="K33" s="100"/>
      <c r="L33" s="100"/>
      <c r="M33" s="100"/>
      <c r="N33" s="100"/>
      <c r="O33" s="105"/>
      <c r="R33" s="111"/>
      <c r="S33" s="109"/>
    </row>
    <row r="34" spans="1:19" x14ac:dyDescent="0.2">
      <c r="A34">
        <v>49</v>
      </c>
      <c r="B34" s="81">
        <v>238.81</v>
      </c>
      <c r="C34" s="81">
        <v>88.73</v>
      </c>
      <c r="D34" s="98">
        <v>5.4599999999999996E-3</v>
      </c>
      <c r="E34" s="90">
        <v>13.4476</v>
      </c>
      <c r="F34" s="92"/>
      <c r="G34">
        <v>29</v>
      </c>
      <c r="H34" s="104"/>
      <c r="I34" s="100"/>
      <c r="J34" s="100"/>
      <c r="K34" s="100"/>
      <c r="L34" s="100"/>
      <c r="M34" s="100"/>
      <c r="N34" s="100"/>
      <c r="O34" s="105"/>
      <c r="R34" s="111"/>
      <c r="S34" s="109"/>
    </row>
    <row r="35" spans="1:19" x14ac:dyDescent="0.2">
      <c r="A35">
        <v>50</v>
      </c>
      <c r="B35" s="79">
        <v>249.04</v>
      </c>
      <c r="C35" s="79">
        <v>94.75</v>
      </c>
      <c r="D35" s="96">
        <v>5.9199999999999999E-3</v>
      </c>
      <c r="E35" s="88">
        <v>13.266999999999999</v>
      </c>
      <c r="F35" s="92"/>
      <c r="G35">
        <v>30</v>
      </c>
      <c r="H35" s="104"/>
      <c r="I35" s="100"/>
      <c r="J35" s="100"/>
      <c r="K35" s="100"/>
      <c r="L35" s="100"/>
      <c r="M35" s="100"/>
      <c r="N35" s="100"/>
      <c r="O35" s="105"/>
      <c r="R35" s="111"/>
      <c r="S35" s="109"/>
    </row>
    <row r="36" spans="1:19" x14ac:dyDescent="0.2">
      <c r="A36">
        <v>51</v>
      </c>
      <c r="B36" s="80">
        <v>259.60000000000002</v>
      </c>
      <c r="C36" s="80">
        <v>101.14</v>
      </c>
      <c r="D36" s="97">
        <v>6.4200000000000004E-3</v>
      </c>
      <c r="E36" s="89">
        <v>13.080399999999999</v>
      </c>
      <c r="F36" s="92"/>
      <c r="G36">
        <v>31</v>
      </c>
      <c r="H36" s="104"/>
      <c r="I36" s="100"/>
      <c r="J36" s="100"/>
      <c r="K36" s="100"/>
      <c r="L36" s="100"/>
      <c r="M36" s="100"/>
      <c r="N36" s="100"/>
      <c r="O36" s="105"/>
      <c r="R36" s="111"/>
      <c r="S36" s="109"/>
    </row>
    <row r="37" spans="1:19" x14ac:dyDescent="0.2">
      <c r="A37">
        <v>52</v>
      </c>
      <c r="B37" s="81">
        <v>270.49</v>
      </c>
      <c r="C37" s="81">
        <v>107.91</v>
      </c>
      <c r="D37" s="98">
        <v>6.9699999999999996E-3</v>
      </c>
      <c r="E37" s="90">
        <v>12.888</v>
      </c>
      <c r="F37" s="92"/>
      <c r="G37">
        <v>32</v>
      </c>
      <c r="H37" s="104"/>
      <c r="I37" s="100"/>
      <c r="J37" s="100"/>
      <c r="K37" s="100"/>
      <c r="L37" s="100"/>
      <c r="M37" s="100"/>
      <c r="N37" s="100"/>
      <c r="O37" s="105"/>
      <c r="R37" s="111"/>
      <c r="S37" s="109"/>
    </row>
    <row r="38" spans="1:19" x14ac:dyDescent="0.2">
      <c r="A38">
        <v>53</v>
      </c>
      <c r="B38" s="81">
        <v>281.70999999999998</v>
      </c>
      <c r="C38" s="81">
        <v>115.08</v>
      </c>
      <c r="D38" s="98">
        <v>7.5799999999999999E-3</v>
      </c>
      <c r="E38" s="90">
        <v>12.6898</v>
      </c>
      <c r="F38" s="92"/>
      <c r="G38">
        <v>33</v>
      </c>
      <c r="H38" s="104"/>
      <c r="I38" s="100"/>
      <c r="J38" s="100"/>
      <c r="K38" s="100"/>
      <c r="L38" s="100"/>
      <c r="M38" s="100"/>
      <c r="N38" s="100"/>
      <c r="O38" s="105"/>
      <c r="R38" s="111"/>
      <c r="S38" s="109"/>
    </row>
    <row r="39" spans="1:19" x14ac:dyDescent="0.2">
      <c r="A39">
        <v>54</v>
      </c>
      <c r="B39" s="81">
        <v>293.26</v>
      </c>
      <c r="C39" s="81">
        <v>122.66</v>
      </c>
      <c r="D39" s="98">
        <v>8.2400000000000008E-3</v>
      </c>
      <c r="E39" s="90">
        <v>12.4857</v>
      </c>
      <c r="F39" s="92"/>
      <c r="G39">
        <v>34</v>
      </c>
      <c r="H39" s="104"/>
      <c r="I39" s="100"/>
      <c r="J39" s="100"/>
      <c r="K39" s="100"/>
      <c r="L39" s="100"/>
      <c r="M39" s="100"/>
      <c r="N39" s="100"/>
      <c r="O39" s="105"/>
      <c r="R39" s="111"/>
      <c r="S39" s="109"/>
    </row>
    <row r="40" spans="1:19" x14ac:dyDescent="0.2">
      <c r="A40">
        <v>55</v>
      </c>
      <c r="B40" s="79">
        <v>305.13</v>
      </c>
      <c r="C40" s="79">
        <v>130.66</v>
      </c>
      <c r="D40" s="96">
        <v>8.9600000000000009E-3</v>
      </c>
      <c r="E40" s="88">
        <v>12.276</v>
      </c>
      <c r="F40" s="92"/>
      <c r="G40">
        <v>35</v>
      </c>
      <c r="H40" s="104"/>
      <c r="I40" s="100"/>
      <c r="J40" s="100"/>
      <c r="K40" s="100"/>
      <c r="L40" s="100"/>
      <c r="M40" s="100"/>
      <c r="N40" s="100"/>
      <c r="O40" s="105"/>
      <c r="R40" s="111"/>
      <c r="S40" s="109"/>
    </row>
    <row r="41" spans="1:19" x14ac:dyDescent="0.2">
      <c r="A41">
        <v>56</v>
      </c>
      <c r="B41" s="80">
        <v>317.32</v>
      </c>
      <c r="C41" s="80">
        <v>139.09</v>
      </c>
      <c r="D41" s="97">
        <v>9.75E-3</v>
      </c>
      <c r="E41" s="89">
        <v>12.060600000000001</v>
      </c>
      <c r="F41" s="92"/>
      <c r="G41">
        <v>36</v>
      </c>
      <c r="H41" s="104"/>
      <c r="I41" s="100"/>
      <c r="J41" s="100"/>
      <c r="K41" s="100"/>
      <c r="L41" s="100"/>
      <c r="M41" s="100"/>
      <c r="N41" s="100"/>
      <c r="O41" s="105"/>
      <c r="R41" s="111"/>
      <c r="S41" s="109"/>
    </row>
    <row r="42" spans="1:19" x14ac:dyDescent="0.2">
      <c r="A42">
        <v>57</v>
      </c>
      <c r="B42" s="81">
        <v>329.83</v>
      </c>
      <c r="C42" s="81">
        <v>147.97</v>
      </c>
      <c r="D42" s="98">
        <v>1.0619999999999999E-2</v>
      </c>
      <c r="E42" s="90">
        <v>11.839700000000001</v>
      </c>
      <c r="F42" s="92"/>
      <c r="G42">
        <v>37</v>
      </c>
      <c r="H42" s="104"/>
      <c r="I42" s="100"/>
      <c r="J42" s="100"/>
      <c r="K42" s="100"/>
      <c r="L42" s="100"/>
      <c r="M42" s="100"/>
      <c r="N42" s="100"/>
      <c r="O42" s="105"/>
      <c r="R42" s="111"/>
      <c r="S42" s="109"/>
    </row>
    <row r="43" spans="1:19" x14ac:dyDescent="0.2">
      <c r="A43">
        <v>58</v>
      </c>
      <c r="B43" s="81">
        <v>342.63</v>
      </c>
      <c r="C43" s="81">
        <v>157.31</v>
      </c>
      <c r="D43" s="98">
        <v>1.158E-2</v>
      </c>
      <c r="E43" s="90">
        <v>11.6135</v>
      </c>
      <c r="F43" s="92"/>
      <c r="G43">
        <v>38</v>
      </c>
      <c r="H43" s="104"/>
      <c r="I43" s="100"/>
      <c r="J43" s="100"/>
      <c r="K43" s="100"/>
      <c r="L43" s="100"/>
      <c r="M43" s="100"/>
      <c r="N43" s="100"/>
      <c r="O43" s="105"/>
      <c r="R43" s="111"/>
      <c r="S43" s="109"/>
    </row>
    <row r="44" spans="1:19" x14ac:dyDescent="0.2">
      <c r="A44">
        <v>59</v>
      </c>
      <c r="B44" s="81">
        <v>355.73</v>
      </c>
      <c r="C44" s="81">
        <v>167.12</v>
      </c>
      <c r="D44" s="98">
        <v>1.2619999999999999E-2</v>
      </c>
      <c r="E44" s="90">
        <v>11.382</v>
      </c>
      <c r="F44" s="92"/>
      <c r="G44">
        <v>39</v>
      </c>
      <c r="H44" s="104"/>
      <c r="I44" s="100"/>
      <c r="J44" s="100"/>
      <c r="K44" s="100"/>
      <c r="L44" s="100"/>
      <c r="M44" s="100"/>
      <c r="N44" s="100"/>
      <c r="O44" s="105"/>
      <c r="R44" s="111"/>
      <c r="S44" s="109"/>
    </row>
    <row r="45" spans="1:19" x14ac:dyDescent="0.2">
      <c r="A45">
        <v>60</v>
      </c>
      <c r="B45" s="79">
        <v>369.12</v>
      </c>
      <c r="C45" s="79">
        <v>177.39</v>
      </c>
      <c r="D45" s="96">
        <v>1.376E-2</v>
      </c>
      <c r="E45" s="88">
        <v>11.1456</v>
      </c>
      <c r="F45" s="92"/>
      <c r="G45">
        <v>40</v>
      </c>
      <c r="H45" s="104"/>
      <c r="I45" s="100"/>
      <c r="J45" s="100"/>
      <c r="K45" s="100"/>
      <c r="L45" s="100"/>
      <c r="M45" s="100"/>
      <c r="N45" s="100"/>
      <c r="O45" s="105"/>
      <c r="R45" s="111"/>
      <c r="S45" s="109"/>
    </row>
    <row r="46" spans="1:19" x14ac:dyDescent="0.2">
      <c r="A46">
        <v>61</v>
      </c>
      <c r="B46" s="80">
        <v>382.77</v>
      </c>
      <c r="C46" s="80">
        <v>188.15</v>
      </c>
      <c r="D46" s="97">
        <v>1.5009999999999999E-2</v>
      </c>
      <c r="E46" s="89">
        <v>10.904400000000001</v>
      </c>
      <c r="F46" s="92"/>
      <c r="G46">
        <v>41</v>
      </c>
      <c r="H46" s="104"/>
      <c r="I46" s="100"/>
      <c r="J46" s="100"/>
      <c r="K46" s="100"/>
      <c r="L46" s="100"/>
      <c r="M46" s="100"/>
      <c r="N46" s="100"/>
      <c r="O46" s="105"/>
      <c r="R46" s="111"/>
      <c r="S46" s="109"/>
    </row>
    <row r="47" spans="1:19" x14ac:dyDescent="0.2">
      <c r="A47">
        <v>62</v>
      </c>
      <c r="B47" s="81">
        <v>396.68</v>
      </c>
      <c r="C47" s="81">
        <v>199.38</v>
      </c>
      <c r="D47" s="98">
        <v>1.6379999999999999E-2</v>
      </c>
      <c r="E47" s="90">
        <v>10.6587</v>
      </c>
      <c r="F47" s="92"/>
      <c r="G47">
        <v>42</v>
      </c>
      <c r="H47" s="104"/>
      <c r="I47" s="100"/>
      <c r="J47" s="100"/>
      <c r="K47" s="100"/>
      <c r="L47" s="100"/>
      <c r="M47" s="100"/>
      <c r="N47" s="100"/>
      <c r="O47" s="105"/>
      <c r="R47" s="111"/>
      <c r="S47" s="109"/>
    </row>
    <row r="48" spans="1:19" x14ac:dyDescent="0.2">
      <c r="A48">
        <v>63</v>
      </c>
      <c r="B48" s="81">
        <v>410.83</v>
      </c>
      <c r="C48" s="81">
        <v>211.1</v>
      </c>
      <c r="D48" s="98">
        <v>1.788E-2</v>
      </c>
      <c r="E48" s="90">
        <v>10.4087</v>
      </c>
      <c r="F48" s="92"/>
      <c r="G48">
        <v>43</v>
      </c>
      <c r="H48" s="104"/>
      <c r="I48" s="100"/>
      <c r="J48" s="100"/>
      <c r="K48" s="100"/>
      <c r="L48" s="100"/>
      <c r="M48" s="100"/>
      <c r="N48" s="100"/>
      <c r="O48" s="105"/>
      <c r="R48" s="111"/>
      <c r="S48" s="109"/>
    </row>
    <row r="49" spans="1:19" x14ac:dyDescent="0.2">
      <c r="A49">
        <v>64</v>
      </c>
      <c r="B49" s="81">
        <v>425.2</v>
      </c>
      <c r="C49" s="81">
        <v>223.31</v>
      </c>
      <c r="D49" s="98">
        <v>1.9519999999999999E-2</v>
      </c>
      <c r="E49" s="90">
        <v>10.1548</v>
      </c>
      <c r="F49" s="92"/>
      <c r="G49">
        <v>44</v>
      </c>
      <c r="H49" s="104"/>
      <c r="I49" s="100"/>
      <c r="J49" s="100"/>
      <c r="K49" s="100"/>
      <c r="L49" s="100"/>
      <c r="M49" s="100"/>
      <c r="N49" s="100"/>
      <c r="O49" s="105"/>
      <c r="R49" s="111"/>
      <c r="S49" s="109"/>
    </row>
    <row r="50" spans="1:19" x14ac:dyDescent="0.2">
      <c r="A50">
        <v>65</v>
      </c>
      <c r="B50" s="79">
        <v>439.78</v>
      </c>
      <c r="C50" s="79">
        <v>235.99</v>
      </c>
      <c r="D50" s="96">
        <v>2.1319999999999999E-2</v>
      </c>
      <c r="E50" s="88">
        <v>9.8972999999999995</v>
      </c>
      <c r="F50" s="92"/>
      <c r="G50">
        <v>45</v>
      </c>
      <c r="H50" s="104"/>
      <c r="I50" s="100"/>
      <c r="J50" s="100"/>
      <c r="K50" s="100"/>
      <c r="L50" s="100"/>
      <c r="M50" s="100"/>
      <c r="N50" s="100"/>
      <c r="O50" s="105"/>
      <c r="R50" s="111"/>
      <c r="S50" s="109"/>
    </row>
    <row r="51" spans="1:19" x14ac:dyDescent="0.2">
      <c r="A51">
        <v>66</v>
      </c>
      <c r="B51" s="80">
        <v>454.75</v>
      </c>
      <c r="C51" s="80">
        <v>249.46</v>
      </c>
      <c r="D51" s="97">
        <v>2.3290000000000002E-2</v>
      </c>
      <c r="E51" s="89">
        <v>9.6326999999999998</v>
      </c>
      <c r="F51" s="92"/>
      <c r="G51">
        <v>46</v>
      </c>
      <c r="H51" s="104"/>
      <c r="I51" s="100"/>
      <c r="J51" s="100"/>
      <c r="K51" s="100"/>
      <c r="L51" s="100"/>
      <c r="M51" s="100"/>
      <c r="N51" s="100"/>
      <c r="O51" s="105"/>
      <c r="R51" s="111"/>
      <c r="S51" s="109"/>
    </row>
    <row r="52" spans="1:19" x14ac:dyDescent="0.2">
      <c r="A52">
        <v>67</v>
      </c>
      <c r="B52" s="81">
        <v>469.47</v>
      </c>
      <c r="C52" s="81">
        <v>262.83</v>
      </c>
      <c r="D52" s="98">
        <v>2.5440000000000001E-2</v>
      </c>
      <c r="E52" s="90">
        <v>9.3726000000000003</v>
      </c>
      <c r="F52" s="92"/>
      <c r="G52">
        <v>47</v>
      </c>
      <c r="H52" s="104"/>
      <c r="I52" s="100"/>
      <c r="J52" s="100"/>
      <c r="K52" s="100"/>
      <c r="L52" s="100"/>
      <c r="M52" s="100"/>
      <c r="N52" s="100"/>
      <c r="O52" s="105"/>
      <c r="R52" s="111"/>
      <c r="S52" s="109"/>
    </row>
    <row r="53" spans="1:19" x14ac:dyDescent="0.2">
      <c r="A53">
        <v>68</v>
      </c>
      <c r="B53" s="81">
        <v>484.53</v>
      </c>
      <c r="C53" s="81">
        <v>276.92</v>
      </c>
      <c r="D53" s="98">
        <v>2.7789999999999999E-2</v>
      </c>
      <c r="E53" s="90">
        <v>9.1066000000000003</v>
      </c>
      <c r="F53" s="92"/>
      <c r="G53">
        <v>48</v>
      </c>
      <c r="H53" s="104"/>
      <c r="I53" s="100"/>
      <c r="J53" s="100"/>
      <c r="K53" s="100"/>
      <c r="L53" s="100"/>
      <c r="M53" s="100"/>
      <c r="N53" s="100"/>
      <c r="O53" s="105"/>
      <c r="R53" s="111"/>
      <c r="S53" s="109"/>
    </row>
    <row r="54" spans="1:19" x14ac:dyDescent="0.2">
      <c r="A54">
        <v>69</v>
      </c>
      <c r="B54" s="81">
        <v>499.7</v>
      </c>
      <c r="C54" s="81">
        <v>291.45999999999998</v>
      </c>
      <c r="D54" s="98">
        <v>3.0370000000000001E-2</v>
      </c>
      <c r="E54" s="90">
        <v>8.8386999999999993</v>
      </c>
      <c r="F54" s="92"/>
      <c r="G54">
        <v>49</v>
      </c>
      <c r="H54" s="104"/>
      <c r="I54" s="100"/>
      <c r="J54" s="100"/>
      <c r="K54" s="100"/>
      <c r="L54" s="100"/>
      <c r="M54" s="100"/>
      <c r="N54" s="100"/>
      <c r="O54" s="105"/>
      <c r="R54" s="111"/>
      <c r="S54" s="109"/>
    </row>
    <row r="55" spans="1:19" x14ac:dyDescent="0.2">
      <c r="A55">
        <v>70</v>
      </c>
      <c r="B55" s="79">
        <v>514.95000000000005</v>
      </c>
      <c r="C55" s="79">
        <v>306.42</v>
      </c>
      <c r="D55" s="96">
        <v>3.3180000000000001E-2</v>
      </c>
      <c r="E55" s="88">
        <v>8.5693000000000001</v>
      </c>
      <c r="F55" s="92"/>
      <c r="G55">
        <v>50</v>
      </c>
      <c r="H55" s="104"/>
      <c r="I55" s="100"/>
      <c r="J55" s="100"/>
      <c r="K55" s="100"/>
      <c r="L55" s="100"/>
      <c r="M55" s="100"/>
      <c r="N55" s="100"/>
      <c r="O55" s="105"/>
      <c r="R55" s="111"/>
      <c r="S55" s="109"/>
    </row>
    <row r="56" spans="1:19" x14ac:dyDescent="0.2">
      <c r="A56">
        <v>71</v>
      </c>
      <c r="B56" s="80">
        <v>530.26</v>
      </c>
      <c r="C56" s="80">
        <v>321.77999999999997</v>
      </c>
      <c r="D56" s="97">
        <v>3.6260000000000001E-2</v>
      </c>
      <c r="E56" s="89">
        <v>8.2988</v>
      </c>
      <c r="F56" s="92"/>
      <c r="G56">
        <v>51</v>
      </c>
      <c r="H56" s="104"/>
      <c r="I56" s="100"/>
      <c r="J56" s="100"/>
      <c r="K56" s="100"/>
      <c r="L56" s="100"/>
      <c r="M56" s="100"/>
      <c r="N56" s="100"/>
      <c r="O56" s="105"/>
      <c r="R56" s="111"/>
      <c r="S56" s="109"/>
    </row>
    <row r="57" spans="1:19" x14ac:dyDescent="0.2">
      <c r="A57">
        <v>72</v>
      </c>
      <c r="B57" s="81">
        <v>545.6</v>
      </c>
      <c r="C57" s="81">
        <v>337.54</v>
      </c>
      <c r="D57" s="98">
        <v>3.9619999999999995E-2</v>
      </c>
      <c r="E57" s="90">
        <v>8.0277999999999992</v>
      </c>
      <c r="F57" s="92"/>
      <c r="G57">
        <v>52</v>
      </c>
      <c r="H57" s="104"/>
      <c r="I57" s="100"/>
      <c r="J57" s="100"/>
      <c r="K57" s="100"/>
      <c r="L57" s="100"/>
      <c r="M57" s="100"/>
      <c r="N57" s="100"/>
      <c r="O57" s="105"/>
      <c r="R57" s="111"/>
      <c r="S57" s="109"/>
    </row>
    <row r="58" spans="1:19" x14ac:dyDescent="0.2">
      <c r="A58">
        <v>73</v>
      </c>
      <c r="B58" s="81">
        <v>560.92999999999995</v>
      </c>
      <c r="C58" s="81">
        <v>353.64</v>
      </c>
      <c r="D58" s="98">
        <v>4.3299999999999998E-2</v>
      </c>
      <c r="E58" s="90">
        <v>7.7568000000000001</v>
      </c>
      <c r="F58" s="92"/>
      <c r="G58">
        <v>53</v>
      </c>
      <c r="H58" s="104"/>
      <c r="I58" s="100"/>
      <c r="J58" s="100"/>
      <c r="K58" s="100"/>
      <c r="L58" s="100"/>
      <c r="M58" s="100"/>
      <c r="N58" s="100"/>
      <c r="O58" s="105"/>
      <c r="R58" s="111"/>
      <c r="S58" s="109"/>
    </row>
    <row r="59" spans="1:19" x14ac:dyDescent="0.2">
      <c r="A59">
        <v>74</v>
      </c>
      <c r="B59" s="81">
        <v>576.24</v>
      </c>
      <c r="C59" s="81">
        <v>370.08</v>
      </c>
      <c r="D59" s="98">
        <v>4.7310000000000005E-2</v>
      </c>
      <c r="E59" s="90">
        <v>7.4863999999999997</v>
      </c>
      <c r="F59" s="92"/>
      <c r="G59">
        <v>54</v>
      </c>
      <c r="H59" s="104"/>
      <c r="I59" s="100"/>
      <c r="J59" s="100"/>
      <c r="K59" s="100"/>
      <c r="L59" s="100"/>
      <c r="M59" s="100"/>
      <c r="N59" s="100"/>
      <c r="O59" s="105"/>
      <c r="R59" s="111"/>
      <c r="S59" s="109"/>
    </row>
    <row r="60" spans="1:19" x14ac:dyDescent="0.2">
      <c r="A60">
        <v>75</v>
      </c>
      <c r="B60" s="79">
        <v>591.49</v>
      </c>
      <c r="C60" s="79">
        <v>386.81</v>
      </c>
      <c r="D60" s="96">
        <v>5.169E-2</v>
      </c>
      <c r="E60" s="88">
        <v>7.2169999999999996</v>
      </c>
      <c r="F60" s="92"/>
      <c r="G60">
        <v>55</v>
      </c>
      <c r="H60" s="104"/>
      <c r="I60" s="100"/>
      <c r="J60" s="100"/>
      <c r="K60" s="100"/>
      <c r="L60" s="100"/>
      <c r="M60" s="100"/>
      <c r="N60" s="100"/>
      <c r="O60" s="105"/>
      <c r="R60" s="111"/>
      <c r="S60" s="109"/>
    </row>
    <row r="61" spans="1:19" x14ac:dyDescent="0.2">
      <c r="A61">
        <v>76</v>
      </c>
      <c r="B61" s="80">
        <v>606.65</v>
      </c>
      <c r="C61" s="80">
        <v>403.8</v>
      </c>
      <c r="D61" s="97">
        <v>5.6469999999999999E-2</v>
      </c>
      <c r="E61" s="89">
        <v>6.9493</v>
      </c>
      <c r="F61" s="92"/>
      <c r="G61">
        <v>56</v>
      </c>
      <c r="H61" s="104"/>
      <c r="I61" s="100"/>
      <c r="J61" s="100"/>
      <c r="K61" s="100"/>
      <c r="L61" s="100"/>
      <c r="M61" s="100"/>
      <c r="N61" s="100"/>
      <c r="O61" s="105"/>
      <c r="R61" s="111"/>
      <c r="S61" s="109"/>
    </row>
    <row r="62" spans="1:19" x14ac:dyDescent="0.2">
      <c r="A62">
        <v>77</v>
      </c>
      <c r="B62" s="81">
        <v>621.67999999999995</v>
      </c>
      <c r="C62" s="81">
        <v>421.02</v>
      </c>
      <c r="D62" s="98">
        <v>6.1679999999999999E-2</v>
      </c>
      <c r="E62" s="90">
        <v>6.6836000000000002</v>
      </c>
      <c r="F62" s="92"/>
      <c r="G62">
        <v>57</v>
      </c>
      <c r="H62" s="104"/>
      <c r="I62" s="100"/>
      <c r="J62" s="100"/>
      <c r="K62" s="100"/>
      <c r="L62" s="100"/>
      <c r="M62" s="100"/>
      <c r="N62" s="100"/>
      <c r="O62" s="105"/>
      <c r="R62" s="111"/>
      <c r="S62" s="109"/>
    </row>
    <row r="63" spans="1:19" x14ac:dyDescent="0.2">
      <c r="A63">
        <v>78</v>
      </c>
      <c r="B63" s="81">
        <v>636.55999999999995</v>
      </c>
      <c r="C63" s="81">
        <v>438.42</v>
      </c>
      <c r="D63" s="98">
        <v>6.7369999999999999E-2</v>
      </c>
      <c r="E63" s="90">
        <v>6.4207000000000001</v>
      </c>
      <c r="F63" s="92"/>
      <c r="G63">
        <v>58</v>
      </c>
      <c r="H63" s="104"/>
      <c r="I63" s="100"/>
      <c r="J63" s="100"/>
      <c r="K63" s="100"/>
      <c r="L63" s="100"/>
      <c r="M63" s="100"/>
      <c r="N63" s="100"/>
      <c r="O63" s="105"/>
      <c r="R63" s="111"/>
      <c r="S63" s="109"/>
    </row>
    <row r="64" spans="1:19" x14ac:dyDescent="0.2">
      <c r="A64">
        <v>79</v>
      </c>
      <c r="B64" s="81">
        <v>651.26</v>
      </c>
      <c r="C64" s="81">
        <v>455.95</v>
      </c>
      <c r="D64" s="98">
        <v>7.356E-2</v>
      </c>
      <c r="E64" s="90">
        <v>6.1609999999999996</v>
      </c>
      <c r="F64" s="92"/>
      <c r="G64">
        <v>59</v>
      </c>
      <c r="H64" s="104"/>
      <c r="I64" s="100"/>
      <c r="J64" s="100"/>
      <c r="K64" s="100"/>
      <c r="L64" s="100"/>
      <c r="M64" s="100"/>
      <c r="N64" s="100"/>
      <c r="O64" s="105"/>
      <c r="R64" s="111"/>
      <c r="S64" s="109"/>
    </row>
    <row r="65" spans="1:19" x14ac:dyDescent="0.2">
      <c r="A65">
        <v>80</v>
      </c>
      <c r="B65" s="79">
        <v>665.75</v>
      </c>
      <c r="C65" s="79">
        <v>473.59</v>
      </c>
      <c r="D65" s="96">
        <v>8.0299999999999996E-2</v>
      </c>
      <c r="E65" s="88">
        <v>5.9050000000000002</v>
      </c>
      <c r="F65" s="92"/>
      <c r="G65">
        <v>60</v>
      </c>
      <c r="H65" s="104"/>
      <c r="I65" s="100"/>
      <c r="J65" s="100"/>
      <c r="K65" s="100"/>
      <c r="L65" s="100"/>
      <c r="M65" s="100"/>
      <c r="N65" s="100"/>
      <c r="O65" s="105"/>
      <c r="R65" s="111"/>
      <c r="S65" s="109"/>
    </row>
    <row r="66" spans="1:19" x14ac:dyDescent="0.2">
      <c r="A66">
        <v>81</v>
      </c>
      <c r="B66" s="80">
        <v>680</v>
      </c>
      <c r="C66" s="80">
        <v>491.27</v>
      </c>
      <c r="D66" s="97">
        <v>8.7639999999999996E-2</v>
      </c>
      <c r="E66" s="89">
        <v>5.6532999999999998</v>
      </c>
      <c r="F66" s="92"/>
      <c r="G66">
        <v>61</v>
      </c>
      <c r="H66" s="104"/>
      <c r="I66" s="100"/>
      <c r="J66" s="100"/>
      <c r="K66" s="100"/>
      <c r="L66" s="100"/>
      <c r="M66" s="100"/>
      <c r="N66" s="100"/>
      <c r="O66" s="105"/>
      <c r="R66" s="111"/>
      <c r="S66" s="109"/>
    </row>
    <row r="67" spans="1:19" x14ac:dyDescent="0.2">
      <c r="A67">
        <v>82</v>
      </c>
      <c r="B67" s="81">
        <v>693.98</v>
      </c>
      <c r="C67" s="81">
        <v>508.96</v>
      </c>
      <c r="D67" s="98">
        <v>9.5610000000000001E-2</v>
      </c>
      <c r="E67" s="90">
        <v>5.4062999999999999</v>
      </c>
      <c r="F67" s="92"/>
      <c r="G67">
        <v>62</v>
      </c>
      <c r="H67" s="104"/>
      <c r="I67" s="100"/>
      <c r="J67" s="100"/>
      <c r="K67" s="100"/>
      <c r="L67" s="100"/>
      <c r="M67" s="100"/>
      <c r="N67" s="100"/>
      <c r="O67" s="105"/>
      <c r="R67" s="111"/>
      <c r="S67" s="109"/>
    </row>
    <row r="68" spans="1:19" x14ac:dyDescent="0.2">
      <c r="A68">
        <v>83</v>
      </c>
      <c r="B68" s="81">
        <v>707.67</v>
      </c>
      <c r="C68" s="81">
        <v>526.6</v>
      </c>
      <c r="D68" s="98">
        <v>0.10428</v>
      </c>
      <c r="E68" s="90">
        <v>5.1645000000000003</v>
      </c>
      <c r="F68" s="92"/>
      <c r="G68">
        <v>63</v>
      </c>
      <c r="H68" s="104"/>
      <c r="I68" s="100"/>
      <c r="J68" s="100"/>
      <c r="K68" s="100"/>
      <c r="L68" s="100"/>
      <c r="M68" s="100"/>
      <c r="N68" s="100"/>
      <c r="O68" s="105"/>
      <c r="R68" s="111"/>
      <c r="S68" s="109"/>
    </row>
    <row r="69" spans="1:19" x14ac:dyDescent="0.2">
      <c r="A69">
        <v>84</v>
      </c>
      <c r="B69" s="81">
        <v>721.04</v>
      </c>
      <c r="C69" s="81">
        <v>544.15</v>
      </c>
      <c r="D69" s="98">
        <v>0.11369</v>
      </c>
      <c r="E69" s="90">
        <v>4.9282000000000004</v>
      </c>
      <c r="F69" s="92"/>
      <c r="G69">
        <v>64</v>
      </c>
      <c r="H69" s="104"/>
      <c r="I69" s="100"/>
      <c r="J69" s="100"/>
      <c r="K69" s="100"/>
      <c r="L69" s="100"/>
      <c r="M69" s="100"/>
      <c r="N69" s="100"/>
      <c r="O69" s="105"/>
      <c r="R69" s="111"/>
      <c r="S69" s="109"/>
    </row>
    <row r="70" spans="1:19" x14ac:dyDescent="0.2">
      <c r="A70">
        <v>85</v>
      </c>
      <c r="B70" s="79">
        <v>734.07</v>
      </c>
      <c r="C70" s="79">
        <v>561.57000000000005</v>
      </c>
      <c r="D70" s="96">
        <v>0.12389</v>
      </c>
      <c r="E70" s="88">
        <v>4.6980000000000004</v>
      </c>
      <c r="F70" s="92"/>
      <c r="G70">
        <v>65</v>
      </c>
      <c r="H70" s="104"/>
      <c r="I70" s="100"/>
      <c r="J70" s="100"/>
      <c r="K70" s="100"/>
      <c r="L70" s="100"/>
      <c r="M70" s="100"/>
      <c r="N70" s="100"/>
      <c r="O70" s="105"/>
      <c r="R70" s="111"/>
      <c r="S70" s="109"/>
    </row>
    <row r="71" spans="1:19" x14ac:dyDescent="0.2">
      <c r="A71">
        <v>86</v>
      </c>
      <c r="B71" s="80">
        <v>746.74</v>
      </c>
      <c r="C71" s="80">
        <v>578.79999999999995</v>
      </c>
      <c r="D71" s="97">
        <v>0.13494</v>
      </c>
      <c r="E71" s="89">
        <v>4.4741999999999997</v>
      </c>
      <c r="F71" s="92"/>
      <c r="G71">
        <v>66</v>
      </c>
      <c r="H71" s="104"/>
      <c r="I71" s="100"/>
      <c r="J71" s="100"/>
      <c r="K71" s="100"/>
      <c r="L71" s="100"/>
      <c r="M71" s="100"/>
      <c r="N71" s="100"/>
      <c r="O71" s="105"/>
      <c r="R71" s="111"/>
      <c r="S71" s="109"/>
    </row>
    <row r="72" spans="1:19" x14ac:dyDescent="0.2">
      <c r="A72">
        <v>87</v>
      </c>
      <c r="B72" s="81">
        <v>759.03</v>
      </c>
      <c r="C72" s="81">
        <v>595.79</v>
      </c>
      <c r="D72" s="98">
        <v>0.14688999999999999</v>
      </c>
      <c r="E72" s="90">
        <v>4.2571000000000003</v>
      </c>
      <c r="F72" s="92"/>
      <c r="G72">
        <v>67</v>
      </c>
      <c r="H72" s="104"/>
      <c r="I72" s="100"/>
      <c r="J72" s="100"/>
      <c r="K72" s="100"/>
      <c r="L72" s="100"/>
      <c r="M72" s="100"/>
      <c r="N72" s="100"/>
      <c r="O72" s="105"/>
      <c r="R72" s="111"/>
      <c r="S72" s="109"/>
    </row>
    <row r="73" spans="1:19" x14ac:dyDescent="0.2">
      <c r="A73">
        <v>88</v>
      </c>
      <c r="B73" s="81">
        <v>770.92</v>
      </c>
      <c r="C73" s="81">
        <v>612.51</v>
      </c>
      <c r="D73" s="98">
        <v>0.15981000000000001</v>
      </c>
      <c r="E73" s="90">
        <v>4.0469999999999997</v>
      </c>
      <c r="F73" s="92"/>
      <c r="G73">
        <v>68</v>
      </c>
      <c r="H73" s="104"/>
      <c r="I73" s="100"/>
      <c r="J73" s="100"/>
      <c r="K73" s="100"/>
      <c r="L73" s="100"/>
      <c r="M73" s="100"/>
      <c r="N73" s="100"/>
      <c r="O73" s="105"/>
      <c r="R73" s="111"/>
      <c r="S73" s="109"/>
    </row>
    <row r="74" spans="1:19" x14ac:dyDescent="0.2">
      <c r="A74">
        <v>89</v>
      </c>
      <c r="B74" s="81">
        <v>782.41</v>
      </c>
      <c r="C74" s="81">
        <v>628.91999999999996</v>
      </c>
      <c r="D74" s="98">
        <v>0.17374999999999999</v>
      </c>
      <c r="E74" s="90">
        <v>3.8441999999999998</v>
      </c>
      <c r="F74" s="92"/>
      <c r="G74">
        <v>69</v>
      </c>
      <c r="H74" s="104"/>
      <c r="I74" s="100"/>
      <c r="J74" s="100"/>
      <c r="K74" s="100"/>
      <c r="L74" s="100"/>
      <c r="M74" s="100"/>
      <c r="N74" s="100"/>
      <c r="O74" s="105"/>
      <c r="R74" s="111"/>
      <c r="S74" s="109"/>
    </row>
    <row r="75" spans="1:19" x14ac:dyDescent="0.2">
      <c r="A75">
        <v>90</v>
      </c>
      <c r="B75" s="79">
        <v>793.46</v>
      </c>
      <c r="C75" s="79">
        <v>644.96</v>
      </c>
      <c r="D75" s="96">
        <v>0.18877000000000002</v>
      </c>
      <c r="E75" s="88">
        <v>3.6488</v>
      </c>
      <c r="F75" s="92"/>
      <c r="G75">
        <v>70</v>
      </c>
      <c r="H75" s="104"/>
      <c r="I75" s="100"/>
      <c r="J75" s="100"/>
      <c r="K75" s="100"/>
      <c r="L75" s="100"/>
      <c r="M75" s="100"/>
      <c r="N75" s="100"/>
      <c r="O75" s="105"/>
      <c r="R75" s="111"/>
      <c r="S75" s="109"/>
    </row>
    <row r="76" spans="1:19" x14ac:dyDescent="0.2">
      <c r="A76">
        <v>91</v>
      </c>
      <c r="B76" s="80">
        <v>804.09</v>
      </c>
      <c r="C76" s="80">
        <v>660.61</v>
      </c>
      <c r="D76" s="97">
        <v>0.20493</v>
      </c>
      <c r="E76" s="89">
        <v>3.4611000000000001</v>
      </c>
      <c r="F76" s="92"/>
      <c r="G76">
        <v>71</v>
      </c>
      <c r="H76" s="104"/>
      <c r="I76" s="100"/>
      <c r="J76" s="100"/>
      <c r="K76" s="100"/>
      <c r="L76" s="100"/>
      <c r="M76" s="100"/>
      <c r="N76" s="100"/>
      <c r="O76" s="105"/>
      <c r="R76" s="111"/>
      <c r="S76" s="109"/>
    </row>
    <row r="77" spans="1:19" x14ac:dyDescent="0.2">
      <c r="A77">
        <v>92</v>
      </c>
      <c r="B77" s="81">
        <v>814.27</v>
      </c>
      <c r="C77" s="81">
        <v>675.83</v>
      </c>
      <c r="D77" s="98">
        <v>0.22227000000000002</v>
      </c>
      <c r="E77" s="90">
        <v>3.2812000000000001</v>
      </c>
      <c r="F77" s="92"/>
      <c r="G77">
        <v>72</v>
      </c>
      <c r="H77" s="104"/>
      <c r="I77" s="100"/>
      <c r="J77" s="100"/>
      <c r="K77" s="100"/>
      <c r="L77" s="100"/>
      <c r="M77" s="100"/>
      <c r="N77" s="100"/>
      <c r="O77" s="105"/>
      <c r="R77" s="111"/>
      <c r="S77" s="109"/>
    </row>
    <row r="78" spans="1:19" x14ac:dyDescent="0.2">
      <c r="A78">
        <v>93</v>
      </c>
      <c r="B78" s="81">
        <v>824.01</v>
      </c>
      <c r="C78" s="81">
        <v>690.59</v>
      </c>
      <c r="D78" s="98">
        <v>0.24086000000000002</v>
      </c>
      <c r="E78" s="90">
        <v>3.1091000000000002</v>
      </c>
      <c r="F78" s="92"/>
      <c r="G78">
        <v>73</v>
      </c>
      <c r="H78" s="104"/>
      <c r="I78" s="100"/>
      <c r="J78" s="100"/>
      <c r="K78" s="100"/>
      <c r="L78" s="100"/>
      <c r="M78" s="100"/>
      <c r="N78" s="100"/>
      <c r="O78" s="105"/>
      <c r="R78" s="111"/>
      <c r="S78" s="109"/>
    </row>
    <row r="79" spans="1:19" x14ac:dyDescent="0.2">
      <c r="A79">
        <v>94</v>
      </c>
      <c r="B79" s="81">
        <v>833.3</v>
      </c>
      <c r="C79" s="81">
        <v>704.86</v>
      </c>
      <c r="D79" s="98">
        <v>0.26073000000000002</v>
      </c>
      <c r="E79" s="90">
        <v>2.9449999999999998</v>
      </c>
      <c r="F79" s="92"/>
      <c r="G79">
        <v>74</v>
      </c>
      <c r="H79" s="104"/>
      <c r="I79" s="100"/>
      <c r="J79" s="100"/>
      <c r="K79" s="100"/>
      <c r="L79" s="100"/>
      <c r="M79" s="100"/>
      <c r="N79" s="100"/>
      <c r="O79" s="105"/>
      <c r="R79" s="111"/>
      <c r="S79" s="109"/>
    </row>
    <row r="80" spans="1:19" x14ac:dyDescent="0.2">
      <c r="A80">
        <v>95</v>
      </c>
      <c r="B80" s="79">
        <v>842.14</v>
      </c>
      <c r="C80" s="79">
        <v>718.61</v>
      </c>
      <c r="D80" s="96">
        <v>0.28191000000000005</v>
      </c>
      <c r="E80" s="88">
        <v>2.7888000000000002</v>
      </c>
      <c r="F80" s="92"/>
      <c r="G80">
        <v>75</v>
      </c>
      <c r="H80" s="104"/>
      <c r="I80" s="100"/>
      <c r="J80" s="100"/>
      <c r="K80" s="100"/>
      <c r="L80" s="100"/>
      <c r="M80" s="100"/>
      <c r="N80" s="100"/>
      <c r="O80" s="105"/>
      <c r="R80" s="111"/>
      <c r="S80" s="109"/>
    </row>
    <row r="81" spans="1:19" x14ac:dyDescent="0.2">
      <c r="A81">
        <v>96</v>
      </c>
      <c r="B81" s="80">
        <v>850.53</v>
      </c>
      <c r="C81" s="80">
        <v>731.83</v>
      </c>
      <c r="D81" s="97">
        <v>0.30445</v>
      </c>
      <c r="E81" s="89">
        <v>2.6406000000000001</v>
      </c>
      <c r="F81" s="92"/>
      <c r="G81">
        <v>76</v>
      </c>
      <c r="H81" s="104"/>
      <c r="I81" s="100"/>
      <c r="J81" s="100"/>
      <c r="K81" s="100"/>
      <c r="L81" s="100"/>
      <c r="M81" s="100"/>
      <c r="N81" s="100"/>
      <c r="O81" s="105"/>
      <c r="R81" s="111"/>
      <c r="S81" s="109"/>
    </row>
    <row r="82" spans="1:19" x14ac:dyDescent="0.2">
      <c r="A82">
        <v>97</v>
      </c>
      <c r="B82" s="81">
        <v>858.48</v>
      </c>
      <c r="C82" s="81">
        <v>744.5</v>
      </c>
      <c r="D82" s="98">
        <v>0.32833999999999997</v>
      </c>
      <c r="E82" s="90">
        <v>2.5002</v>
      </c>
      <c r="F82" s="92"/>
      <c r="G82">
        <v>77</v>
      </c>
      <c r="H82" s="104"/>
      <c r="I82" s="100"/>
      <c r="J82" s="100"/>
      <c r="K82" s="100"/>
      <c r="L82" s="100"/>
      <c r="M82" s="100"/>
      <c r="N82" s="100"/>
      <c r="O82" s="105"/>
      <c r="R82" s="111"/>
      <c r="S82" s="109"/>
    </row>
    <row r="83" spans="1:19" x14ac:dyDescent="0.2">
      <c r="A83">
        <v>98</v>
      </c>
      <c r="B83" s="81">
        <v>865.99</v>
      </c>
      <c r="C83" s="81">
        <v>756.61</v>
      </c>
      <c r="D83" s="98">
        <v>0.35360000000000003</v>
      </c>
      <c r="E83" s="90">
        <v>2.3675999999999999</v>
      </c>
      <c r="F83" s="92"/>
      <c r="G83">
        <v>78</v>
      </c>
      <c r="H83" s="104"/>
      <c r="I83" s="100"/>
      <c r="J83" s="100"/>
      <c r="K83" s="100"/>
      <c r="L83" s="100"/>
      <c r="M83" s="100"/>
      <c r="N83" s="100"/>
      <c r="O83" s="105"/>
      <c r="R83" s="111"/>
      <c r="S83" s="109"/>
    </row>
    <row r="84" spans="1:19" x14ac:dyDescent="0.2">
      <c r="A84">
        <v>99</v>
      </c>
      <c r="B84" s="81">
        <v>873.06</v>
      </c>
      <c r="C84" s="81">
        <v>768.13</v>
      </c>
      <c r="D84" s="98">
        <v>0.38019999999999998</v>
      </c>
      <c r="E84" s="90">
        <v>2.2425999999999999</v>
      </c>
      <c r="F84" s="92"/>
      <c r="G84">
        <v>79</v>
      </c>
      <c r="H84" s="104"/>
      <c r="I84" s="100"/>
      <c r="J84" s="100"/>
      <c r="K84" s="100"/>
      <c r="L84" s="100"/>
      <c r="M84" s="100"/>
      <c r="N84" s="100"/>
      <c r="O84" s="105"/>
      <c r="R84" s="111"/>
      <c r="S84" s="109"/>
    </row>
    <row r="85" spans="1:19" x14ac:dyDescent="0.2">
      <c r="A85">
        <v>100</v>
      </c>
      <c r="B85" s="79">
        <v>879.7</v>
      </c>
      <c r="C85" s="79">
        <v>779.08</v>
      </c>
      <c r="D85" s="96">
        <v>0.40811999999999998</v>
      </c>
      <c r="E85" s="88">
        <v>2.1252</v>
      </c>
      <c r="F85" s="92"/>
      <c r="G85">
        <v>80</v>
      </c>
      <c r="H85" s="104"/>
      <c r="I85" s="100"/>
      <c r="J85" s="100"/>
      <c r="K85" s="100"/>
      <c r="L85" s="100"/>
      <c r="M85" s="100"/>
      <c r="N85" s="100"/>
      <c r="O85" s="105"/>
      <c r="R85" s="111"/>
      <c r="S85" s="109"/>
    </row>
    <row r="86" spans="1:19" x14ac:dyDescent="0.2">
      <c r="A86">
        <v>101</v>
      </c>
      <c r="B86" s="80">
        <v>885.93</v>
      </c>
      <c r="C86" s="80">
        <v>789.44</v>
      </c>
      <c r="D86" s="97">
        <v>0.43727999999999995</v>
      </c>
      <c r="E86" s="89">
        <v>2.0152000000000001</v>
      </c>
      <c r="F86" s="92"/>
      <c r="G86">
        <v>81</v>
      </c>
      <c r="H86" s="104"/>
      <c r="I86" s="100"/>
      <c r="J86" s="100"/>
      <c r="K86" s="100"/>
      <c r="L86" s="100"/>
      <c r="M86" s="100"/>
      <c r="N86" s="100"/>
      <c r="O86" s="105"/>
      <c r="R86" s="111"/>
      <c r="S86" s="109"/>
    </row>
    <row r="87" spans="1:19" x14ac:dyDescent="0.2">
      <c r="A87">
        <v>102</v>
      </c>
      <c r="B87" s="81">
        <v>891.76</v>
      </c>
      <c r="C87" s="81">
        <v>799.21</v>
      </c>
      <c r="D87" s="98">
        <v>0.46761000000000003</v>
      </c>
      <c r="E87" s="90">
        <v>1.9123000000000001</v>
      </c>
      <c r="F87" s="92"/>
      <c r="G87">
        <v>82</v>
      </c>
      <c r="H87" s="104"/>
      <c r="I87" s="100"/>
      <c r="J87" s="100"/>
      <c r="K87" s="100"/>
      <c r="L87" s="100"/>
      <c r="M87" s="100"/>
      <c r="N87" s="100"/>
      <c r="O87" s="105"/>
      <c r="R87" s="111"/>
      <c r="S87" s="109"/>
    </row>
    <row r="88" spans="1:19" x14ac:dyDescent="0.2">
      <c r="A88">
        <v>103</v>
      </c>
      <c r="B88" s="81">
        <v>897.19</v>
      </c>
      <c r="C88" s="81">
        <v>808.41</v>
      </c>
      <c r="D88" s="98">
        <v>0.49898999999999999</v>
      </c>
      <c r="E88" s="90">
        <v>1.8164</v>
      </c>
      <c r="F88" s="92"/>
      <c r="G88">
        <v>83</v>
      </c>
      <c r="H88" s="104"/>
      <c r="I88" s="100"/>
      <c r="J88" s="100"/>
      <c r="K88" s="100"/>
      <c r="L88" s="100"/>
      <c r="M88" s="100"/>
      <c r="N88" s="100"/>
      <c r="O88" s="105"/>
      <c r="R88" s="111"/>
      <c r="S88" s="109"/>
    </row>
    <row r="89" spans="1:19" x14ac:dyDescent="0.2">
      <c r="A89">
        <v>104</v>
      </c>
      <c r="B89" s="81">
        <v>902.23</v>
      </c>
      <c r="C89" s="81">
        <v>817.02</v>
      </c>
      <c r="D89" s="98">
        <v>0.53127999999999997</v>
      </c>
      <c r="E89" s="90">
        <v>1.7273000000000001</v>
      </c>
      <c r="F89" s="92"/>
      <c r="G89">
        <v>84</v>
      </c>
      <c r="H89" s="104"/>
      <c r="I89" s="100"/>
      <c r="J89" s="100"/>
      <c r="K89" s="100"/>
      <c r="L89" s="100"/>
      <c r="M89" s="100"/>
      <c r="N89" s="100"/>
      <c r="O89" s="105"/>
      <c r="R89" s="111"/>
      <c r="S89" s="109"/>
    </row>
    <row r="90" spans="1:19" x14ac:dyDescent="0.2">
      <c r="A90">
        <v>105</v>
      </c>
      <c r="B90" s="79">
        <v>906.9</v>
      </c>
      <c r="C90" s="79">
        <v>825.06</v>
      </c>
      <c r="D90" s="96">
        <v>0.56428999999999996</v>
      </c>
      <c r="E90" s="88">
        <v>1.6447000000000001</v>
      </c>
      <c r="F90" s="92"/>
      <c r="G90">
        <v>85</v>
      </c>
      <c r="H90" s="104"/>
      <c r="I90" s="100"/>
      <c r="J90" s="100"/>
      <c r="K90" s="100"/>
      <c r="L90" s="100"/>
      <c r="M90" s="100"/>
      <c r="N90" s="100"/>
      <c r="O90" s="105"/>
      <c r="R90" s="111"/>
      <c r="S90" s="109"/>
    </row>
    <row r="91" spans="1:19" x14ac:dyDescent="0.2">
      <c r="A91">
        <v>106</v>
      </c>
      <c r="B91" s="80">
        <v>911.22</v>
      </c>
      <c r="C91" s="80">
        <v>832.53</v>
      </c>
      <c r="D91" s="97">
        <v>0.59783000000000008</v>
      </c>
      <c r="E91" s="89">
        <v>1.5685</v>
      </c>
      <c r="F91" s="92"/>
      <c r="G91">
        <v>86</v>
      </c>
      <c r="H91" s="104"/>
      <c r="I91" s="100"/>
      <c r="J91" s="100"/>
      <c r="K91" s="100"/>
      <c r="L91" s="100"/>
      <c r="M91" s="100"/>
      <c r="N91" s="100"/>
      <c r="O91" s="105"/>
      <c r="R91" s="111"/>
      <c r="S91" s="109"/>
    </row>
    <row r="92" spans="1:19" x14ac:dyDescent="0.2">
      <c r="A92">
        <v>107</v>
      </c>
      <c r="B92" s="81">
        <v>915.19</v>
      </c>
      <c r="C92" s="81">
        <v>839.46</v>
      </c>
      <c r="D92" s="98">
        <v>0.63163999999999998</v>
      </c>
      <c r="E92" s="90">
        <v>1.4984</v>
      </c>
      <c r="F92" s="92"/>
      <c r="G92">
        <v>87</v>
      </c>
      <c r="H92" s="104"/>
      <c r="I92" s="100"/>
      <c r="J92" s="100"/>
      <c r="K92" s="100"/>
      <c r="L92" s="100"/>
      <c r="M92" s="100"/>
      <c r="N92" s="100"/>
      <c r="O92" s="105"/>
      <c r="R92" s="111"/>
      <c r="S92" s="109"/>
    </row>
    <row r="93" spans="1:19" x14ac:dyDescent="0.2">
      <c r="A93">
        <v>108</v>
      </c>
      <c r="B93" s="81">
        <v>918.82</v>
      </c>
      <c r="C93" s="81">
        <v>845.84</v>
      </c>
      <c r="D93" s="98">
        <v>0.6654500000000001</v>
      </c>
      <c r="E93" s="90">
        <v>1.4340999999999999</v>
      </c>
      <c r="F93" s="92"/>
      <c r="G93">
        <v>88</v>
      </c>
      <c r="H93" s="104"/>
      <c r="I93" s="100"/>
      <c r="J93" s="100"/>
      <c r="K93" s="100"/>
      <c r="L93" s="100"/>
      <c r="M93" s="100"/>
      <c r="N93" s="100"/>
      <c r="O93" s="105"/>
      <c r="R93" s="111"/>
      <c r="S93" s="109"/>
    </row>
    <row r="94" spans="1:19" x14ac:dyDescent="0.2">
      <c r="A94">
        <v>109</v>
      </c>
      <c r="B94" s="81">
        <v>922.14</v>
      </c>
      <c r="C94" s="81">
        <v>851.69</v>
      </c>
      <c r="D94" s="98">
        <v>0.69896999999999998</v>
      </c>
      <c r="E94" s="90">
        <v>1.3754999999999999</v>
      </c>
      <c r="F94" s="92"/>
      <c r="G94">
        <v>89</v>
      </c>
      <c r="H94" s="104"/>
      <c r="I94" s="100"/>
      <c r="J94" s="100"/>
      <c r="K94" s="100"/>
      <c r="L94" s="100"/>
      <c r="M94" s="100"/>
      <c r="N94" s="100"/>
      <c r="O94" s="105"/>
      <c r="R94" s="111"/>
      <c r="S94" s="109"/>
    </row>
    <row r="95" spans="1:19" x14ac:dyDescent="0.2">
      <c r="A95">
        <v>110</v>
      </c>
      <c r="B95" s="82">
        <v>925.15</v>
      </c>
      <c r="C95" s="82">
        <v>857.04</v>
      </c>
      <c r="D95" s="99">
        <v>0.73187000000000002</v>
      </c>
      <c r="E95" s="91">
        <v>1.3223</v>
      </c>
      <c r="F95" s="92"/>
      <c r="G95">
        <v>90</v>
      </c>
      <c r="H95" s="106"/>
      <c r="I95" s="107"/>
      <c r="J95" s="107"/>
      <c r="K95" s="107"/>
      <c r="L95" s="107"/>
      <c r="M95" s="107"/>
      <c r="N95" s="107"/>
      <c r="O95" s="108"/>
      <c r="R95" s="112"/>
      <c r="S95" s="109"/>
    </row>
    <row r="96" spans="1:19" x14ac:dyDescent="0.2">
      <c r="E96" s="84"/>
      <c r="F96" s="92"/>
      <c r="H96" s="95"/>
    </row>
  </sheetData>
  <pageMargins left="0.75" right="0.75" top="1" bottom="1" header="0.5" footer="0.5"/>
  <pageSetup orientation="portrait" horizontalDpi="4294967292" verticalDpi="429496729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P96"/>
  <sheetViews>
    <sheetView workbookViewId="0">
      <selection activeCell="D5" sqref="D5:D95"/>
    </sheetView>
  </sheetViews>
  <sheetFormatPr baseColWidth="10" defaultRowHeight="16" x14ac:dyDescent="0.2"/>
  <cols>
    <col min="4" max="4" width="9.1640625" customWidth="1"/>
    <col min="5" max="5" width="6.5" style="85" bestFit="1" customWidth="1"/>
    <col min="6" max="6" width="7.83203125" style="85" bestFit="1" customWidth="1"/>
    <col min="7" max="7" width="8.83203125" style="85" customWidth="1"/>
    <col min="8" max="8" width="6.33203125" style="94" customWidth="1"/>
    <col min="9" max="10" width="9.1640625" customWidth="1"/>
    <col min="11" max="11" width="26.33203125" customWidth="1"/>
    <col min="12" max="13" width="20.5" customWidth="1"/>
    <col min="14" max="14" width="3.83203125" customWidth="1"/>
    <col min="15" max="15" width="3.1640625" customWidth="1"/>
    <col min="16" max="16" width="22" bestFit="1" customWidth="1"/>
  </cols>
  <sheetData>
    <row r="1" spans="1:16" x14ac:dyDescent="0.2">
      <c r="A1" s="2"/>
      <c r="E1" s="86"/>
      <c r="F1" s="86"/>
      <c r="G1" s="86"/>
      <c r="H1" s="93"/>
      <c r="K1" t="s">
        <v>168</v>
      </c>
    </row>
    <row r="2" spans="1:16" x14ac:dyDescent="0.2">
      <c r="E2" s="87"/>
      <c r="F2" s="87"/>
      <c r="G2" s="87"/>
      <c r="H2" s="92"/>
      <c r="K2" t="s">
        <v>170</v>
      </c>
      <c r="L2" t="s">
        <v>171</v>
      </c>
      <c r="M2" t="s">
        <v>175</v>
      </c>
      <c r="P2">
        <v>12.2</v>
      </c>
    </row>
    <row r="3" spans="1:16" ht="16" customHeight="1" x14ac:dyDescent="0.2">
      <c r="B3" t="s">
        <v>66</v>
      </c>
      <c r="E3" s="87"/>
      <c r="F3" s="87"/>
      <c r="G3" s="87"/>
      <c r="H3" s="92"/>
      <c r="K3" t="s">
        <v>149</v>
      </c>
      <c r="L3" t="s">
        <v>150</v>
      </c>
      <c r="M3" t="s">
        <v>174</v>
      </c>
      <c r="P3" t="s">
        <v>167</v>
      </c>
    </row>
    <row r="4" spans="1:16" x14ac:dyDescent="0.2">
      <c r="A4" t="s">
        <v>0</v>
      </c>
      <c r="B4" s="83" t="s">
        <v>164</v>
      </c>
      <c r="C4" s="83" t="s">
        <v>165</v>
      </c>
      <c r="D4" t="s">
        <v>9</v>
      </c>
      <c r="E4" s="83" t="s">
        <v>157</v>
      </c>
      <c r="F4" s="83" t="s">
        <v>172</v>
      </c>
      <c r="G4" s="83" t="s">
        <v>169</v>
      </c>
      <c r="H4" s="93"/>
      <c r="J4" t="s">
        <v>158</v>
      </c>
    </row>
    <row r="5" spans="1:16" x14ac:dyDescent="0.2">
      <c r="A5">
        <v>20</v>
      </c>
      <c r="B5" s="79">
        <v>65.28</v>
      </c>
      <c r="C5" s="79">
        <v>14.3</v>
      </c>
      <c r="D5" s="96">
        <v>1.0300000000000001E-3</v>
      </c>
      <c r="E5" s="88">
        <v>16.513300000000001</v>
      </c>
      <c r="F5" s="79">
        <v>551.64</v>
      </c>
      <c r="G5" s="79">
        <v>301.93</v>
      </c>
      <c r="H5" s="92"/>
      <c r="J5">
        <v>0</v>
      </c>
      <c r="K5" s="101"/>
      <c r="L5" s="102"/>
      <c r="M5" s="103"/>
      <c r="P5" s="65"/>
    </row>
    <row r="6" spans="1:16" x14ac:dyDescent="0.2">
      <c r="A6">
        <v>21</v>
      </c>
      <c r="B6" s="80">
        <v>68.239999999999995</v>
      </c>
      <c r="C6" s="80">
        <v>15.06</v>
      </c>
      <c r="D6" s="97">
        <v>1.06E-3</v>
      </c>
      <c r="E6" s="89">
        <v>16.461099999999998</v>
      </c>
      <c r="F6" s="80">
        <v>551.36</v>
      </c>
      <c r="G6" s="80">
        <v>301.39999999999998</v>
      </c>
      <c r="H6" s="92"/>
      <c r="J6">
        <v>1</v>
      </c>
      <c r="K6" s="104"/>
      <c r="L6" s="100"/>
      <c r="M6" s="105"/>
    </row>
    <row r="7" spans="1:16" x14ac:dyDescent="0.2">
      <c r="A7">
        <v>22</v>
      </c>
      <c r="B7" s="81">
        <v>71.349999999999994</v>
      </c>
      <c r="C7" s="81">
        <v>15.87</v>
      </c>
      <c r="D7" s="98">
        <v>1.1000000000000001E-3</v>
      </c>
      <c r="E7" s="90">
        <v>16.406199999999998</v>
      </c>
      <c r="F7" s="81">
        <v>551.05999999999995</v>
      </c>
      <c r="G7" s="81">
        <v>300.82</v>
      </c>
      <c r="H7" s="92"/>
      <c r="J7">
        <v>2</v>
      </c>
      <c r="K7" s="104"/>
      <c r="L7" s="100"/>
      <c r="M7" s="105"/>
    </row>
    <row r="8" spans="1:16" x14ac:dyDescent="0.2">
      <c r="A8">
        <v>23</v>
      </c>
      <c r="B8" s="81">
        <v>74.62</v>
      </c>
      <c r="C8" s="81">
        <v>16.760000000000002</v>
      </c>
      <c r="D8" s="98">
        <v>1.1299999999999999E-3</v>
      </c>
      <c r="E8" s="90">
        <v>16.348500000000001</v>
      </c>
      <c r="F8" s="81">
        <v>550.73</v>
      </c>
      <c r="G8" s="81">
        <v>300.19</v>
      </c>
      <c r="H8" s="92"/>
      <c r="J8">
        <v>3</v>
      </c>
      <c r="K8" s="104"/>
      <c r="L8" s="100"/>
      <c r="M8" s="105"/>
    </row>
    <row r="9" spans="1:16" x14ac:dyDescent="0.2">
      <c r="A9">
        <v>24</v>
      </c>
      <c r="B9" s="81">
        <v>78.05</v>
      </c>
      <c r="C9" s="81">
        <v>17.71</v>
      </c>
      <c r="D9" s="98">
        <v>1.1799999999999998E-3</v>
      </c>
      <c r="E9" s="90">
        <v>16.2879</v>
      </c>
      <c r="F9" s="81">
        <v>550.36</v>
      </c>
      <c r="G9" s="81">
        <v>299.49</v>
      </c>
      <c r="H9" s="92"/>
      <c r="J9">
        <v>4</v>
      </c>
      <c r="K9" s="104"/>
      <c r="L9" s="100"/>
      <c r="M9" s="105"/>
    </row>
    <row r="10" spans="1:16" x14ac:dyDescent="0.2">
      <c r="A10">
        <v>25</v>
      </c>
      <c r="B10" s="79">
        <v>81.650000000000006</v>
      </c>
      <c r="C10" s="79">
        <v>18.75</v>
      </c>
      <c r="D10" s="96">
        <v>1.2199999999999999E-3</v>
      </c>
      <c r="E10" s="88">
        <v>16.2242</v>
      </c>
      <c r="F10" s="79">
        <v>549.97</v>
      </c>
      <c r="G10" s="79">
        <v>298.73</v>
      </c>
      <c r="H10" s="92"/>
      <c r="J10">
        <v>5</v>
      </c>
      <c r="K10" s="104"/>
      <c r="L10" s="100"/>
      <c r="M10" s="105"/>
    </row>
    <row r="11" spans="1:16" x14ac:dyDescent="0.2">
      <c r="A11">
        <v>26</v>
      </c>
      <c r="B11" s="80">
        <v>85.43</v>
      </c>
      <c r="C11" s="80">
        <v>19.87</v>
      </c>
      <c r="D11" s="97">
        <v>1.2700000000000001E-3</v>
      </c>
      <c r="E11" s="89">
        <v>16.157399999999999</v>
      </c>
      <c r="F11" s="80">
        <v>549.53</v>
      </c>
      <c r="G11" s="80">
        <v>297.89999999999998</v>
      </c>
      <c r="H11" s="92"/>
      <c r="J11">
        <v>6</v>
      </c>
      <c r="K11" s="104"/>
      <c r="L11" s="100"/>
      <c r="M11" s="105"/>
    </row>
    <row r="12" spans="1:16" x14ac:dyDescent="0.2">
      <c r="A12">
        <v>27</v>
      </c>
      <c r="B12" s="81">
        <v>89.39</v>
      </c>
      <c r="C12" s="81">
        <v>21.07</v>
      </c>
      <c r="D12" s="98">
        <v>1.33E-3</v>
      </c>
      <c r="E12" s="90">
        <v>16.087399999999999</v>
      </c>
      <c r="F12" s="81">
        <v>549.04999999999995</v>
      </c>
      <c r="G12" s="81">
        <v>297</v>
      </c>
      <c r="H12" s="92"/>
      <c r="J12">
        <v>7</v>
      </c>
      <c r="K12" s="104"/>
      <c r="L12" s="100"/>
      <c r="M12" s="105"/>
    </row>
    <row r="13" spans="1:16" x14ac:dyDescent="0.2">
      <c r="A13">
        <v>28</v>
      </c>
      <c r="B13" s="81">
        <v>93.55</v>
      </c>
      <c r="C13" s="81">
        <v>22.38</v>
      </c>
      <c r="D13" s="98">
        <v>1.39E-3</v>
      </c>
      <c r="E13" s="90">
        <v>16.0139</v>
      </c>
      <c r="F13" s="81">
        <v>548.53</v>
      </c>
      <c r="G13" s="81">
        <v>296.01</v>
      </c>
      <c r="H13" s="92"/>
      <c r="J13">
        <v>8</v>
      </c>
      <c r="K13" s="104"/>
      <c r="L13" s="100"/>
      <c r="M13" s="105"/>
    </row>
    <row r="14" spans="1:16" x14ac:dyDescent="0.2">
      <c r="A14">
        <v>29</v>
      </c>
      <c r="B14" s="81">
        <v>97.91</v>
      </c>
      <c r="C14" s="81">
        <v>23.79</v>
      </c>
      <c r="D14" s="98">
        <v>1.4599999999999999E-3</v>
      </c>
      <c r="E14" s="90">
        <v>15.9369</v>
      </c>
      <c r="F14" s="81">
        <v>547.96</v>
      </c>
      <c r="G14" s="81">
        <v>294.92</v>
      </c>
      <c r="H14" s="92"/>
      <c r="J14">
        <v>9</v>
      </c>
      <c r="K14" s="104"/>
      <c r="L14" s="100"/>
      <c r="M14" s="105"/>
    </row>
    <row r="15" spans="1:16" x14ac:dyDescent="0.2">
      <c r="A15">
        <v>30</v>
      </c>
      <c r="B15" s="79">
        <v>102.48</v>
      </c>
      <c r="C15" s="79">
        <v>25.31</v>
      </c>
      <c r="D15" s="96">
        <v>1.5300000000000001E-3</v>
      </c>
      <c r="E15" s="88">
        <v>15.856199999999999</v>
      </c>
      <c r="F15" s="79">
        <v>547.33000000000004</v>
      </c>
      <c r="G15" s="79">
        <v>293.74</v>
      </c>
      <c r="H15" s="92"/>
      <c r="J15">
        <v>10</v>
      </c>
      <c r="K15" s="104"/>
      <c r="L15" s="100"/>
      <c r="M15" s="105"/>
    </row>
    <row r="16" spans="1:16" x14ac:dyDescent="0.2">
      <c r="A16">
        <v>31</v>
      </c>
      <c r="B16" s="80">
        <v>107.27</v>
      </c>
      <c r="C16" s="80">
        <v>26.95</v>
      </c>
      <c r="D16" s="97">
        <v>1.6100000000000001E-3</v>
      </c>
      <c r="E16" s="89">
        <v>15.771599999999999</v>
      </c>
      <c r="F16" s="80">
        <v>546.65</v>
      </c>
      <c r="G16" s="80">
        <v>292.45</v>
      </c>
      <c r="H16" s="92"/>
      <c r="J16">
        <v>11</v>
      </c>
      <c r="K16" s="104"/>
      <c r="L16" s="100"/>
      <c r="M16" s="105"/>
    </row>
    <row r="17" spans="1:13" x14ac:dyDescent="0.2">
      <c r="A17">
        <v>32</v>
      </c>
      <c r="B17" s="81">
        <v>112.27</v>
      </c>
      <c r="C17" s="81">
        <v>28.72</v>
      </c>
      <c r="D17" s="98">
        <v>1.6999999999999999E-3</v>
      </c>
      <c r="E17" s="90">
        <v>15.683199999999999</v>
      </c>
      <c r="F17" s="81">
        <v>545.9</v>
      </c>
      <c r="G17" s="81">
        <v>291.04000000000002</v>
      </c>
      <c r="H17" s="92"/>
      <c r="J17">
        <v>12</v>
      </c>
      <c r="K17" s="104"/>
      <c r="L17" s="100"/>
      <c r="M17" s="105"/>
    </row>
    <row r="18" spans="1:13" x14ac:dyDescent="0.2">
      <c r="A18">
        <v>33</v>
      </c>
      <c r="B18" s="81">
        <v>117.51</v>
      </c>
      <c r="C18" s="81">
        <v>30.63</v>
      </c>
      <c r="D18" s="98">
        <v>1.7900000000000001E-3</v>
      </c>
      <c r="E18" s="90">
        <v>15.5906</v>
      </c>
      <c r="F18" s="81">
        <v>545.07000000000005</v>
      </c>
      <c r="G18" s="81">
        <v>289.5</v>
      </c>
      <c r="H18" s="92"/>
      <c r="J18">
        <v>13</v>
      </c>
      <c r="K18" s="104"/>
      <c r="L18" s="100"/>
      <c r="M18" s="105"/>
    </row>
    <row r="19" spans="1:13" x14ac:dyDescent="0.2">
      <c r="A19">
        <v>34</v>
      </c>
      <c r="B19" s="81">
        <v>122.99</v>
      </c>
      <c r="C19" s="81">
        <v>32.68</v>
      </c>
      <c r="D19" s="98">
        <v>1.9E-3</v>
      </c>
      <c r="E19" s="90">
        <v>15.4938</v>
      </c>
      <c r="F19" s="81">
        <v>544.16999999999996</v>
      </c>
      <c r="G19" s="81">
        <v>287.82</v>
      </c>
      <c r="H19" s="92"/>
      <c r="J19">
        <v>14</v>
      </c>
      <c r="K19" s="104"/>
      <c r="L19" s="100"/>
      <c r="M19" s="105"/>
    </row>
    <row r="20" spans="1:13" x14ac:dyDescent="0.2">
      <c r="A20">
        <v>35</v>
      </c>
      <c r="B20" s="79">
        <v>128.72</v>
      </c>
      <c r="C20" s="79">
        <v>34.880000000000003</v>
      </c>
      <c r="D20" s="96">
        <v>2.0099999999999996E-3</v>
      </c>
      <c r="E20" s="88">
        <v>15.3927</v>
      </c>
      <c r="F20" s="79">
        <v>543.17999999999995</v>
      </c>
      <c r="G20" s="79">
        <v>286</v>
      </c>
      <c r="H20" s="92"/>
      <c r="J20">
        <v>15</v>
      </c>
      <c r="K20" s="104"/>
      <c r="L20" s="100"/>
      <c r="M20" s="105"/>
    </row>
    <row r="21" spans="1:13" x14ac:dyDescent="0.2">
      <c r="A21">
        <v>36</v>
      </c>
      <c r="B21" s="80">
        <v>134.69999999999999</v>
      </c>
      <c r="C21" s="80">
        <v>37.26</v>
      </c>
      <c r="D21" s="97">
        <v>2.14E-3</v>
      </c>
      <c r="E21" s="89">
        <v>15.287000000000001</v>
      </c>
      <c r="F21" s="80">
        <v>542.11</v>
      </c>
      <c r="G21" s="80">
        <v>284</v>
      </c>
      <c r="H21" s="92"/>
      <c r="J21">
        <v>16</v>
      </c>
      <c r="K21" s="104"/>
      <c r="L21" s="100"/>
      <c r="M21" s="105"/>
    </row>
    <row r="22" spans="1:13" x14ac:dyDescent="0.2">
      <c r="A22">
        <v>37</v>
      </c>
      <c r="B22" s="81">
        <v>140.94</v>
      </c>
      <c r="C22" s="81">
        <v>39.81</v>
      </c>
      <c r="D22" s="98">
        <v>2.2799999999999999E-3</v>
      </c>
      <c r="E22" s="90">
        <v>15.1767</v>
      </c>
      <c r="F22" s="81">
        <v>540.91999999999996</v>
      </c>
      <c r="G22" s="81">
        <v>281.83999999999997</v>
      </c>
      <c r="H22" s="92"/>
      <c r="J22">
        <v>17</v>
      </c>
      <c r="K22" s="104"/>
      <c r="L22" s="100"/>
      <c r="M22" s="105"/>
    </row>
    <row r="23" spans="1:13" x14ac:dyDescent="0.2">
      <c r="A23">
        <v>38</v>
      </c>
      <c r="B23" s="81">
        <v>147.44999999999999</v>
      </c>
      <c r="C23" s="81">
        <v>42.54</v>
      </c>
      <c r="D23" s="98">
        <v>2.4300000000000003E-3</v>
      </c>
      <c r="E23" s="90">
        <v>15.0617</v>
      </c>
      <c r="F23" s="81">
        <v>539.63</v>
      </c>
      <c r="G23" s="81">
        <v>279.48</v>
      </c>
      <c r="H23" s="92"/>
      <c r="J23">
        <v>18</v>
      </c>
      <c r="K23" s="104"/>
      <c r="L23" s="100"/>
      <c r="M23" s="105"/>
    </row>
    <row r="24" spans="1:13" x14ac:dyDescent="0.2">
      <c r="A24">
        <v>39</v>
      </c>
      <c r="B24" s="81">
        <v>154.24</v>
      </c>
      <c r="C24" s="81">
        <v>45.48</v>
      </c>
      <c r="D24" s="98">
        <v>2.5999999999999999E-3</v>
      </c>
      <c r="E24" s="90">
        <v>14.941700000000001</v>
      </c>
      <c r="F24" s="81">
        <v>538.22</v>
      </c>
      <c r="G24" s="81">
        <v>276.92</v>
      </c>
      <c r="H24" s="92"/>
      <c r="J24">
        <v>19</v>
      </c>
      <c r="K24" s="104"/>
      <c r="L24" s="100"/>
      <c r="M24" s="105"/>
    </row>
    <row r="25" spans="1:13" x14ac:dyDescent="0.2">
      <c r="A25">
        <v>40</v>
      </c>
      <c r="B25" s="79">
        <v>161.32</v>
      </c>
      <c r="C25" s="79">
        <v>48.63</v>
      </c>
      <c r="D25" s="96">
        <v>2.7799999999999999E-3</v>
      </c>
      <c r="E25" s="88">
        <v>14.816700000000001</v>
      </c>
      <c r="F25" s="79">
        <v>536.66999999999996</v>
      </c>
      <c r="G25" s="79">
        <v>274.14</v>
      </c>
      <c r="H25" s="92"/>
      <c r="J25">
        <v>20</v>
      </c>
      <c r="K25" s="106"/>
      <c r="L25" s="107"/>
      <c r="M25" s="108"/>
    </row>
    <row r="26" spans="1:13" x14ac:dyDescent="0.2">
      <c r="A26">
        <v>41</v>
      </c>
      <c r="B26" s="80">
        <v>168.69</v>
      </c>
      <c r="C26" s="80">
        <v>52.01</v>
      </c>
      <c r="D26" s="97">
        <v>2.98E-3</v>
      </c>
      <c r="E26" s="89">
        <v>14.686500000000001</v>
      </c>
      <c r="F26" s="80">
        <v>534.99</v>
      </c>
      <c r="G26" s="80">
        <v>271.12</v>
      </c>
      <c r="H26" s="92"/>
      <c r="J26" s="54"/>
      <c r="K26" s="113"/>
      <c r="L26" s="113"/>
      <c r="M26" s="113"/>
    </row>
    <row r="27" spans="1:13" x14ac:dyDescent="0.2">
      <c r="A27">
        <v>42</v>
      </c>
      <c r="B27" s="81">
        <v>176.35</v>
      </c>
      <c r="C27" s="81">
        <v>55.62</v>
      </c>
      <c r="D27" s="98">
        <v>3.2000000000000002E-3</v>
      </c>
      <c r="E27" s="90">
        <v>14.5511</v>
      </c>
      <c r="F27" s="81">
        <v>533.14</v>
      </c>
      <c r="G27" s="81">
        <v>267.85000000000002</v>
      </c>
      <c r="H27" s="92"/>
      <c r="J27" s="54"/>
      <c r="K27" s="113"/>
      <c r="L27" s="113"/>
      <c r="M27" s="113"/>
    </row>
    <row r="28" spans="1:13" x14ac:dyDescent="0.2">
      <c r="A28">
        <v>43</v>
      </c>
      <c r="B28" s="81">
        <v>184.32</v>
      </c>
      <c r="C28" s="81">
        <v>59.48</v>
      </c>
      <c r="D28" s="98">
        <v>3.4399999999999999E-3</v>
      </c>
      <c r="E28" s="90">
        <v>14.410299999999999</v>
      </c>
      <c r="F28" s="81">
        <v>531.12</v>
      </c>
      <c r="G28" s="81">
        <v>264.31</v>
      </c>
      <c r="H28" s="92"/>
      <c r="J28" s="54"/>
      <c r="K28" s="113"/>
      <c r="L28" s="113"/>
      <c r="M28" s="113"/>
    </row>
    <row r="29" spans="1:13" x14ac:dyDescent="0.2">
      <c r="A29">
        <v>44</v>
      </c>
      <c r="B29" s="81">
        <v>192.6</v>
      </c>
      <c r="C29" s="81">
        <v>63.61</v>
      </c>
      <c r="D29" s="98">
        <v>3.7099999999999998E-3</v>
      </c>
      <c r="E29" s="90">
        <v>14.263999999999999</v>
      </c>
      <c r="F29" s="81">
        <v>528.91999999999996</v>
      </c>
      <c r="G29" s="81">
        <v>260.48</v>
      </c>
      <c r="H29" s="92"/>
      <c r="J29" s="54"/>
      <c r="K29" s="113"/>
      <c r="L29" s="113"/>
      <c r="M29" s="113"/>
    </row>
    <row r="30" spans="1:13" x14ac:dyDescent="0.2">
      <c r="A30">
        <v>45</v>
      </c>
      <c r="B30" s="79">
        <v>201.2</v>
      </c>
      <c r="C30" s="79">
        <v>68.02</v>
      </c>
      <c r="D30" s="96">
        <v>4.0000000000000001E-3</v>
      </c>
      <c r="E30" s="88">
        <v>14.1122</v>
      </c>
      <c r="F30" s="79">
        <v>526.52</v>
      </c>
      <c r="G30" s="79">
        <v>256.33999999999997</v>
      </c>
      <c r="H30" s="92"/>
      <c r="J30" s="54"/>
      <c r="K30" s="113"/>
      <c r="L30" s="113"/>
      <c r="M30" s="113"/>
    </row>
    <row r="31" spans="1:13" x14ac:dyDescent="0.2">
      <c r="A31">
        <v>46</v>
      </c>
      <c r="B31" s="80">
        <v>210.11</v>
      </c>
      <c r="C31" s="80">
        <v>72.72</v>
      </c>
      <c r="D31" s="97">
        <v>4.3099999999999996E-3</v>
      </c>
      <c r="E31" s="89">
        <v>13.954700000000001</v>
      </c>
      <c r="F31" s="80">
        <v>523.89</v>
      </c>
      <c r="G31" s="80">
        <v>251.99</v>
      </c>
      <c r="H31" s="92"/>
      <c r="J31" s="54"/>
      <c r="K31" s="113"/>
      <c r="L31" s="113"/>
      <c r="M31" s="113"/>
    </row>
    <row r="32" spans="1:13" x14ac:dyDescent="0.2">
      <c r="A32">
        <v>47</v>
      </c>
      <c r="B32" s="81">
        <v>219.35</v>
      </c>
      <c r="C32" s="81">
        <v>77.73</v>
      </c>
      <c r="D32" s="98">
        <v>4.6600000000000001E-3</v>
      </c>
      <c r="E32" s="90">
        <v>13.791499999999999</v>
      </c>
      <c r="F32" s="81">
        <v>521.03</v>
      </c>
      <c r="G32" s="81">
        <v>247.08</v>
      </c>
      <c r="H32" s="92"/>
      <c r="J32" s="54"/>
      <c r="K32" s="113"/>
      <c r="L32" s="113"/>
      <c r="M32" s="113"/>
    </row>
    <row r="33" spans="1:13" x14ac:dyDescent="0.2">
      <c r="A33">
        <v>48</v>
      </c>
      <c r="B33" s="81">
        <v>228.92</v>
      </c>
      <c r="C33" s="81">
        <v>83.06</v>
      </c>
      <c r="D33" s="98">
        <v>5.0400000000000002E-3</v>
      </c>
      <c r="E33" s="90">
        <v>13.6225</v>
      </c>
      <c r="F33" s="81">
        <v>517.91</v>
      </c>
      <c r="G33" s="81">
        <v>241.93</v>
      </c>
      <c r="H33" s="92"/>
      <c r="J33" s="54"/>
      <c r="K33" s="113"/>
      <c r="L33" s="113"/>
      <c r="M33" s="113"/>
    </row>
    <row r="34" spans="1:13" x14ac:dyDescent="0.2">
      <c r="A34">
        <v>49</v>
      </c>
      <c r="B34" s="81">
        <v>238.81</v>
      </c>
      <c r="C34" s="81">
        <v>88.73</v>
      </c>
      <c r="D34" s="98">
        <v>5.4599999999999996E-3</v>
      </c>
      <c r="E34" s="90">
        <v>13.4476</v>
      </c>
      <c r="F34" s="81">
        <v>514.51</v>
      </c>
      <c r="G34" s="81">
        <v>236.39</v>
      </c>
      <c r="H34" s="92"/>
      <c r="J34" s="54"/>
      <c r="K34" s="113"/>
      <c r="L34" s="113"/>
      <c r="M34" s="113"/>
    </row>
    <row r="35" spans="1:13" x14ac:dyDescent="0.2">
      <c r="A35">
        <v>50</v>
      </c>
      <c r="B35" s="79">
        <v>249.04</v>
      </c>
      <c r="C35" s="79">
        <v>94.75</v>
      </c>
      <c r="D35" s="96">
        <v>5.9199999999999999E-3</v>
      </c>
      <c r="E35" s="88">
        <v>13.266999999999999</v>
      </c>
      <c r="F35" s="79">
        <v>510.81</v>
      </c>
      <c r="G35" s="79">
        <v>230.47</v>
      </c>
      <c r="H35" s="92"/>
      <c r="J35" s="54"/>
      <c r="K35" s="113"/>
      <c r="L35" s="113"/>
      <c r="M35" s="113"/>
    </row>
    <row r="36" spans="1:13" x14ac:dyDescent="0.2">
      <c r="A36">
        <v>51</v>
      </c>
      <c r="B36" s="80">
        <v>259.60000000000002</v>
      </c>
      <c r="C36" s="80">
        <v>101.14</v>
      </c>
      <c r="D36" s="97">
        <v>6.4200000000000004E-3</v>
      </c>
      <c r="E36" s="89">
        <v>13.080399999999999</v>
      </c>
      <c r="F36" s="80">
        <v>506.78</v>
      </c>
      <c r="G36" s="80">
        <v>224.15</v>
      </c>
      <c r="H36" s="92"/>
      <c r="J36" s="54"/>
      <c r="K36" s="113"/>
      <c r="L36" s="113"/>
      <c r="M36" s="113"/>
    </row>
    <row r="37" spans="1:13" x14ac:dyDescent="0.2">
      <c r="A37">
        <v>52</v>
      </c>
      <c r="B37" s="81">
        <v>270.49</v>
      </c>
      <c r="C37" s="81">
        <v>107.91</v>
      </c>
      <c r="D37" s="98">
        <v>6.9699999999999996E-3</v>
      </c>
      <c r="E37" s="90">
        <v>12.888</v>
      </c>
      <c r="F37" s="81">
        <v>502.4</v>
      </c>
      <c r="G37" s="81">
        <v>217.42</v>
      </c>
      <c r="H37" s="92"/>
      <c r="J37" s="54"/>
      <c r="K37" s="113"/>
      <c r="L37" s="113"/>
      <c r="M37" s="113"/>
    </row>
    <row r="38" spans="1:13" x14ac:dyDescent="0.2">
      <c r="A38">
        <v>53</v>
      </c>
      <c r="B38" s="81">
        <v>281.70999999999998</v>
      </c>
      <c r="C38" s="81">
        <v>115.08</v>
      </c>
      <c r="D38" s="98">
        <v>7.5799999999999999E-3</v>
      </c>
      <c r="E38" s="90">
        <v>12.6898</v>
      </c>
      <c r="F38" s="81">
        <v>497.64</v>
      </c>
      <c r="G38" s="81">
        <v>210.27</v>
      </c>
      <c r="H38" s="92"/>
      <c r="J38" s="54"/>
      <c r="K38" s="113"/>
      <c r="L38" s="113"/>
      <c r="M38" s="113"/>
    </row>
    <row r="39" spans="1:13" x14ac:dyDescent="0.2">
      <c r="A39">
        <v>54</v>
      </c>
      <c r="B39" s="81">
        <v>293.26</v>
      </c>
      <c r="C39" s="81">
        <v>122.66</v>
      </c>
      <c r="D39" s="98">
        <v>8.2400000000000008E-3</v>
      </c>
      <c r="E39" s="90">
        <v>12.4857</v>
      </c>
      <c r="F39" s="81">
        <v>492.47</v>
      </c>
      <c r="G39" s="81">
        <v>202.7</v>
      </c>
      <c r="H39" s="92"/>
      <c r="J39" s="54"/>
      <c r="K39" s="113"/>
      <c r="L39" s="113"/>
      <c r="M39" s="113"/>
    </row>
    <row r="40" spans="1:13" x14ac:dyDescent="0.2">
      <c r="A40">
        <v>55</v>
      </c>
      <c r="B40" s="79">
        <v>305.13</v>
      </c>
      <c r="C40" s="79">
        <v>130.66</v>
      </c>
      <c r="D40" s="96">
        <v>8.9600000000000009E-3</v>
      </c>
      <c r="E40" s="88">
        <v>12.276</v>
      </c>
      <c r="F40" s="79">
        <v>486.86</v>
      </c>
      <c r="G40" s="79">
        <v>194.72</v>
      </c>
      <c r="H40" s="92"/>
      <c r="J40" s="54"/>
      <c r="K40" s="113"/>
      <c r="L40" s="113"/>
      <c r="M40" s="113"/>
    </row>
    <row r="41" spans="1:13" x14ac:dyDescent="0.2">
      <c r="A41">
        <v>56</v>
      </c>
      <c r="B41" s="80">
        <v>317.32</v>
      </c>
      <c r="C41" s="80">
        <v>139.09</v>
      </c>
      <c r="D41" s="97">
        <v>9.75E-3</v>
      </c>
      <c r="E41" s="89">
        <v>12.060600000000001</v>
      </c>
      <c r="F41" s="80">
        <v>480.99</v>
      </c>
      <c r="G41" s="80">
        <v>186.32</v>
      </c>
      <c r="H41" s="92"/>
      <c r="J41" s="54"/>
      <c r="K41" s="113"/>
      <c r="L41" s="113"/>
      <c r="M41" s="113"/>
    </row>
    <row r="42" spans="1:13" x14ac:dyDescent="0.2">
      <c r="A42">
        <v>57</v>
      </c>
      <c r="B42" s="81">
        <v>329.83</v>
      </c>
      <c r="C42" s="81">
        <v>147.97</v>
      </c>
      <c r="D42" s="98">
        <v>1.0619999999999999E-2</v>
      </c>
      <c r="E42" s="90">
        <v>11.839700000000001</v>
      </c>
      <c r="F42" s="81">
        <v>474.22</v>
      </c>
      <c r="G42" s="81">
        <v>177.53</v>
      </c>
      <c r="H42" s="92"/>
      <c r="J42" s="54"/>
      <c r="K42" s="113"/>
      <c r="L42" s="113"/>
      <c r="M42" s="113"/>
    </row>
    <row r="43" spans="1:13" x14ac:dyDescent="0.2">
      <c r="A43">
        <v>58</v>
      </c>
      <c r="B43" s="81">
        <v>342.63</v>
      </c>
      <c r="C43" s="81">
        <v>157.31</v>
      </c>
      <c r="D43" s="98">
        <v>1.158E-2</v>
      </c>
      <c r="E43" s="90">
        <v>11.6135</v>
      </c>
      <c r="F43" s="81">
        <v>467.12</v>
      </c>
      <c r="G43" s="81">
        <v>168.37</v>
      </c>
      <c r="H43" s="92"/>
      <c r="J43" s="54"/>
      <c r="K43" s="113"/>
      <c r="L43" s="113"/>
      <c r="M43" s="113"/>
    </row>
    <row r="44" spans="1:13" x14ac:dyDescent="0.2">
      <c r="A44">
        <v>59</v>
      </c>
      <c r="B44" s="81">
        <v>355.73</v>
      </c>
      <c r="C44" s="81">
        <v>167.12</v>
      </c>
      <c r="D44" s="98">
        <v>1.2619999999999999E-2</v>
      </c>
      <c r="E44" s="90">
        <v>11.382</v>
      </c>
      <c r="F44" s="81">
        <v>459.46</v>
      </c>
      <c r="G44" s="81">
        <v>158.87</v>
      </c>
      <c r="H44" s="92"/>
      <c r="J44" s="54"/>
      <c r="K44" s="113"/>
      <c r="L44" s="113"/>
      <c r="M44" s="113"/>
    </row>
    <row r="45" spans="1:13" x14ac:dyDescent="0.2">
      <c r="A45">
        <v>60</v>
      </c>
      <c r="B45" s="79">
        <v>369.12</v>
      </c>
      <c r="C45" s="79">
        <v>177.39</v>
      </c>
      <c r="D45" s="96">
        <v>1.376E-2</v>
      </c>
      <c r="E45" s="88">
        <v>11.1456</v>
      </c>
      <c r="F45" s="79">
        <v>451.2</v>
      </c>
      <c r="G45" s="79">
        <v>149.06</v>
      </c>
      <c r="H45" s="92"/>
      <c r="J45" s="54"/>
      <c r="K45" s="113"/>
      <c r="L45" s="113"/>
      <c r="M45" s="113"/>
    </row>
    <row r="46" spans="1:13" x14ac:dyDescent="0.2">
      <c r="A46">
        <v>61</v>
      </c>
      <c r="B46" s="80">
        <v>382.77</v>
      </c>
      <c r="C46" s="80">
        <v>188.15</v>
      </c>
      <c r="D46" s="97">
        <v>1.5009999999999999E-2</v>
      </c>
      <c r="E46" s="89">
        <v>10.904400000000001</v>
      </c>
      <c r="F46" s="80">
        <v>442.31</v>
      </c>
      <c r="G46" s="80">
        <v>139</v>
      </c>
      <c r="H46" s="92"/>
      <c r="J46" s="54"/>
      <c r="K46" s="113"/>
      <c r="L46" s="113"/>
      <c r="M46" s="113"/>
    </row>
    <row r="47" spans="1:13" x14ac:dyDescent="0.2">
      <c r="A47">
        <v>62</v>
      </c>
      <c r="B47" s="81">
        <v>396.68</v>
      </c>
      <c r="C47" s="81">
        <v>199.38</v>
      </c>
      <c r="D47" s="98">
        <v>1.6379999999999999E-2</v>
      </c>
      <c r="E47" s="90">
        <v>10.6587</v>
      </c>
      <c r="F47" s="81">
        <v>432.77</v>
      </c>
      <c r="G47" s="81">
        <v>128.75</v>
      </c>
      <c r="H47" s="92"/>
      <c r="J47" s="54"/>
      <c r="K47" s="113"/>
      <c r="L47" s="113"/>
      <c r="M47" s="113"/>
    </row>
    <row r="48" spans="1:13" x14ac:dyDescent="0.2">
      <c r="A48">
        <v>63</v>
      </c>
      <c r="B48" s="81">
        <v>410.83</v>
      </c>
      <c r="C48" s="81">
        <v>211.1</v>
      </c>
      <c r="D48" s="98">
        <v>1.788E-2</v>
      </c>
      <c r="E48" s="90">
        <v>10.4087</v>
      </c>
      <c r="F48" s="81">
        <v>422.54</v>
      </c>
      <c r="G48" s="81">
        <v>118.38</v>
      </c>
      <c r="H48" s="92"/>
      <c r="J48" s="54"/>
      <c r="K48" s="113"/>
      <c r="L48" s="113"/>
      <c r="M48" s="113"/>
    </row>
    <row r="49" spans="1:13" x14ac:dyDescent="0.2">
      <c r="A49">
        <v>64</v>
      </c>
      <c r="B49" s="81">
        <v>425.2</v>
      </c>
      <c r="C49" s="81">
        <v>223.31</v>
      </c>
      <c r="D49" s="98">
        <v>1.9519999999999999E-2</v>
      </c>
      <c r="E49" s="90">
        <v>10.1548</v>
      </c>
      <c r="F49" s="81">
        <v>411.61</v>
      </c>
      <c r="G49" s="81">
        <v>107.97</v>
      </c>
      <c r="H49" s="92"/>
      <c r="J49" s="54"/>
      <c r="K49" s="113"/>
      <c r="L49" s="113"/>
      <c r="M49" s="113"/>
    </row>
    <row r="50" spans="1:13" x14ac:dyDescent="0.2">
      <c r="A50">
        <v>65</v>
      </c>
      <c r="B50" s="79">
        <v>439.78</v>
      </c>
      <c r="C50" s="79">
        <v>235.99</v>
      </c>
      <c r="D50" s="96">
        <v>2.1319999999999999E-2</v>
      </c>
      <c r="E50" s="88">
        <v>9.8972999999999995</v>
      </c>
      <c r="F50" s="79">
        <v>399.94</v>
      </c>
      <c r="G50" s="79">
        <v>97.6</v>
      </c>
      <c r="H50" s="92"/>
      <c r="J50" s="54"/>
      <c r="K50" s="113"/>
      <c r="L50" s="113"/>
      <c r="M50" s="113"/>
    </row>
    <row r="51" spans="1:13" x14ac:dyDescent="0.2">
      <c r="A51">
        <v>66</v>
      </c>
      <c r="B51" s="80">
        <v>454.75</v>
      </c>
      <c r="C51" s="80">
        <v>249.46</v>
      </c>
      <c r="D51" s="97">
        <v>2.3290000000000002E-2</v>
      </c>
      <c r="E51" s="89">
        <v>9.6326999999999998</v>
      </c>
      <c r="F51" s="80">
        <v>387.37</v>
      </c>
      <c r="G51" s="80">
        <v>87.34</v>
      </c>
      <c r="H51" s="92"/>
      <c r="J51" s="54"/>
      <c r="K51" s="113"/>
      <c r="L51" s="113"/>
      <c r="M51" s="113"/>
    </row>
    <row r="52" spans="1:13" x14ac:dyDescent="0.2">
      <c r="A52">
        <v>67</v>
      </c>
      <c r="B52" s="81">
        <v>469.47</v>
      </c>
      <c r="C52" s="81">
        <v>262.83</v>
      </c>
      <c r="D52" s="98">
        <v>2.5440000000000001E-2</v>
      </c>
      <c r="E52" s="90">
        <v>9.3726000000000003</v>
      </c>
      <c r="F52" s="81">
        <v>374.36</v>
      </c>
      <c r="G52" s="81">
        <v>77.38</v>
      </c>
      <c r="H52" s="92"/>
      <c r="J52" s="54"/>
      <c r="K52" s="113"/>
      <c r="L52" s="113"/>
      <c r="M52" s="113"/>
    </row>
    <row r="53" spans="1:13" x14ac:dyDescent="0.2">
      <c r="A53">
        <v>68</v>
      </c>
      <c r="B53" s="81">
        <v>484.53</v>
      </c>
      <c r="C53" s="81">
        <v>276.92</v>
      </c>
      <c r="D53" s="98">
        <v>2.7789999999999999E-2</v>
      </c>
      <c r="E53" s="90">
        <v>9.1066000000000003</v>
      </c>
      <c r="F53" s="81">
        <v>360.44</v>
      </c>
      <c r="G53" s="81">
        <v>67.739999999999995</v>
      </c>
      <c r="H53" s="92"/>
      <c r="J53" s="54"/>
      <c r="K53" s="113"/>
      <c r="L53" s="113"/>
      <c r="M53" s="113"/>
    </row>
    <row r="54" spans="1:13" x14ac:dyDescent="0.2">
      <c r="A54">
        <v>69</v>
      </c>
      <c r="B54" s="81">
        <v>499.7</v>
      </c>
      <c r="C54" s="81">
        <v>291.45999999999998</v>
      </c>
      <c r="D54" s="98">
        <v>3.0370000000000001E-2</v>
      </c>
      <c r="E54" s="90">
        <v>8.8386999999999993</v>
      </c>
      <c r="F54" s="81">
        <v>345.77</v>
      </c>
      <c r="G54" s="81">
        <v>58.54</v>
      </c>
      <c r="H54" s="92"/>
      <c r="J54" s="54"/>
      <c r="K54" s="113"/>
      <c r="L54" s="113"/>
      <c r="M54" s="113"/>
    </row>
    <row r="55" spans="1:13" x14ac:dyDescent="0.2">
      <c r="A55">
        <v>70</v>
      </c>
      <c r="B55" s="79">
        <v>514.95000000000005</v>
      </c>
      <c r="C55" s="79">
        <v>306.42</v>
      </c>
      <c r="D55" s="96">
        <v>3.3180000000000001E-2</v>
      </c>
      <c r="E55" s="88">
        <v>8.5693000000000001</v>
      </c>
      <c r="F55" s="79">
        <v>330.37</v>
      </c>
      <c r="G55" s="79">
        <v>49.88</v>
      </c>
      <c r="H55" s="92"/>
      <c r="J55" s="54"/>
      <c r="K55" s="113"/>
      <c r="L55" s="113"/>
      <c r="M55" s="113"/>
    </row>
    <row r="56" spans="1:13" x14ac:dyDescent="0.2">
      <c r="A56">
        <v>71</v>
      </c>
      <c r="B56" s="80">
        <v>530.26</v>
      </c>
      <c r="C56" s="80">
        <v>321.77999999999997</v>
      </c>
      <c r="D56" s="97">
        <v>3.6260000000000001E-2</v>
      </c>
      <c r="E56" s="89">
        <v>8.2988</v>
      </c>
      <c r="F56" s="80">
        <v>314.27</v>
      </c>
      <c r="G56" s="80">
        <v>41.86</v>
      </c>
      <c r="H56" s="92"/>
      <c r="J56" s="54"/>
      <c r="K56" s="113"/>
      <c r="L56" s="113"/>
      <c r="M56" s="113"/>
    </row>
    <row r="57" spans="1:13" x14ac:dyDescent="0.2">
      <c r="A57">
        <v>72</v>
      </c>
      <c r="B57" s="81">
        <v>545.6</v>
      </c>
      <c r="C57" s="81">
        <v>337.54</v>
      </c>
      <c r="D57" s="98">
        <v>3.9619999999999995E-2</v>
      </c>
      <c r="E57" s="90">
        <v>8.0277999999999992</v>
      </c>
      <c r="F57" s="81">
        <v>297.51</v>
      </c>
      <c r="G57" s="81">
        <v>34.53</v>
      </c>
      <c r="H57" s="92"/>
      <c r="J57" s="54"/>
      <c r="K57" s="113"/>
      <c r="L57" s="113"/>
      <c r="M57" s="113"/>
    </row>
    <row r="58" spans="1:13" x14ac:dyDescent="0.2">
      <c r="A58">
        <v>73</v>
      </c>
      <c r="B58" s="81">
        <v>560.92999999999995</v>
      </c>
      <c r="C58" s="81">
        <v>353.64</v>
      </c>
      <c r="D58" s="98">
        <v>4.3299999999999998E-2</v>
      </c>
      <c r="E58" s="90">
        <v>7.7568000000000001</v>
      </c>
      <c r="F58" s="81">
        <v>280.17</v>
      </c>
      <c r="G58" s="81">
        <v>27.96</v>
      </c>
      <c r="H58" s="92"/>
      <c r="J58" s="54"/>
      <c r="K58" s="113"/>
      <c r="L58" s="113"/>
      <c r="M58" s="113"/>
    </row>
    <row r="59" spans="1:13" x14ac:dyDescent="0.2">
      <c r="A59">
        <v>74</v>
      </c>
      <c r="B59" s="81">
        <v>576.24</v>
      </c>
      <c r="C59" s="81">
        <v>370.08</v>
      </c>
      <c r="D59" s="98">
        <v>4.7310000000000005E-2</v>
      </c>
      <c r="E59" s="90">
        <v>7.4863999999999997</v>
      </c>
      <c r="F59" s="81">
        <v>262.31</v>
      </c>
      <c r="G59" s="81">
        <v>22.19</v>
      </c>
      <c r="H59" s="92"/>
      <c r="J59" s="54"/>
      <c r="K59" s="113"/>
      <c r="L59" s="113"/>
      <c r="M59" s="113"/>
    </row>
    <row r="60" spans="1:13" x14ac:dyDescent="0.2">
      <c r="A60">
        <v>75</v>
      </c>
      <c r="B60" s="79">
        <v>591.49</v>
      </c>
      <c r="C60" s="79">
        <v>386.81</v>
      </c>
      <c r="D60" s="96">
        <v>5.169E-2</v>
      </c>
      <c r="E60" s="88">
        <v>7.2169999999999996</v>
      </c>
      <c r="F60" s="79">
        <v>244.03</v>
      </c>
      <c r="G60" s="79">
        <v>17.22</v>
      </c>
      <c r="H60" s="92"/>
      <c r="J60" s="54"/>
      <c r="K60" s="113"/>
      <c r="L60" s="113"/>
      <c r="M60" s="113"/>
    </row>
    <row r="61" spans="1:13" x14ac:dyDescent="0.2">
      <c r="A61">
        <v>76</v>
      </c>
      <c r="B61" s="80">
        <v>606.65</v>
      </c>
      <c r="C61" s="80">
        <v>403.8</v>
      </c>
      <c r="D61" s="97">
        <v>5.6469999999999999E-2</v>
      </c>
      <c r="E61" s="89">
        <v>6.9493</v>
      </c>
      <c r="F61" s="80">
        <v>225.46</v>
      </c>
      <c r="G61" s="80">
        <v>13.04</v>
      </c>
      <c r="H61" s="92"/>
      <c r="J61" s="54"/>
      <c r="K61" s="113"/>
      <c r="L61" s="113"/>
      <c r="M61" s="113"/>
    </row>
    <row r="62" spans="1:13" x14ac:dyDescent="0.2">
      <c r="A62">
        <v>77</v>
      </c>
      <c r="B62" s="81">
        <v>621.67999999999995</v>
      </c>
      <c r="C62" s="81">
        <v>421.02</v>
      </c>
      <c r="D62" s="98">
        <v>6.1679999999999999E-2</v>
      </c>
      <c r="E62" s="90">
        <v>6.6836000000000002</v>
      </c>
      <c r="F62" s="81">
        <v>206.71</v>
      </c>
      <c r="G62" s="81">
        <v>9.61</v>
      </c>
      <c r="H62" s="92"/>
      <c r="J62" s="54"/>
      <c r="K62" s="113"/>
      <c r="L62" s="113"/>
      <c r="M62" s="113"/>
    </row>
    <row r="63" spans="1:13" x14ac:dyDescent="0.2">
      <c r="A63">
        <v>78</v>
      </c>
      <c r="B63" s="81">
        <v>636.55999999999995</v>
      </c>
      <c r="C63" s="81">
        <v>438.42</v>
      </c>
      <c r="D63" s="98">
        <v>6.7369999999999999E-2</v>
      </c>
      <c r="E63" s="90">
        <v>6.4207000000000001</v>
      </c>
      <c r="F63" s="81">
        <v>187.94</v>
      </c>
      <c r="G63" s="81">
        <v>6.88</v>
      </c>
      <c r="H63" s="92"/>
      <c r="J63" s="54"/>
      <c r="K63" s="113"/>
      <c r="L63" s="113"/>
      <c r="M63" s="113"/>
    </row>
    <row r="64" spans="1:13" x14ac:dyDescent="0.2">
      <c r="A64">
        <v>79</v>
      </c>
      <c r="B64" s="81">
        <v>651.26</v>
      </c>
      <c r="C64" s="81">
        <v>455.95</v>
      </c>
      <c r="D64" s="98">
        <v>7.356E-2</v>
      </c>
      <c r="E64" s="90">
        <v>6.1609999999999996</v>
      </c>
      <c r="F64" s="81">
        <v>169.31</v>
      </c>
      <c r="G64" s="81">
        <v>4.7699999999999996</v>
      </c>
      <c r="H64" s="92"/>
      <c r="J64" s="54"/>
      <c r="K64" s="113"/>
      <c r="L64" s="113"/>
      <c r="M64" s="113"/>
    </row>
    <row r="65" spans="1:13" x14ac:dyDescent="0.2">
      <c r="A65">
        <v>80</v>
      </c>
      <c r="B65" s="79">
        <v>665.75</v>
      </c>
      <c r="C65" s="79">
        <v>473.59</v>
      </c>
      <c r="D65" s="96">
        <v>8.0299999999999996E-2</v>
      </c>
      <c r="E65" s="88">
        <v>5.9050000000000002</v>
      </c>
      <c r="F65" s="79">
        <v>151</v>
      </c>
      <c r="G65" s="79">
        <v>3.19</v>
      </c>
      <c r="H65" s="92"/>
      <c r="J65" s="54"/>
      <c r="K65" s="113"/>
      <c r="L65" s="113"/>
      <c r="M65" s="113"/>
    </row>
    <row r="66" spans="1:13" x14ac:dyDescent="0.2">
      <c r="A66">
        <v>81</v>
      </c>
      <c r="B66" s="80">
        <v>680</v>
      </c>
      <c r="C66" s="80">
        <v>491.27</v>
      </c>
      <c r="D66" s="97">
        <v>8.7639999999999996E-2</v>
      </c>
      <c r="E66" s="89">
        <v>5.6532999999999998</v>
      </c>
      <c r="F66" s="80">
        <v>133.19</v>
      </c>
      <c r="G66" s="80">
        <v>2.0499999999999998</v>
      </c>
      <c r="H66" s="92"/>
      <c r="J66" s="54"/>
      <c r="K66" s="113"/>
      <c r="L66" s="113"/>
      <c r="M66" s="113"/>
    </row>
    <row r="67" spans="1:13" x14ac:dyDescent="0.2">
      <c r="A67">
        <v>82</v>
      </c>
      <c r="B67" s="81">
        <v>693.98</v>
      </c>
      <c r="C67" s="81">
        <v>508.96</v>
      </c>
      <c r="D67" s="98">
        <v>9.5610000000000001E-2</v>
      </c>
      <c r="E67" s="90">
        <v>5.4062999999999999</v>
      </c>
      <c r="F67" s="81">
        <v>116.06</v>
      </c>
      <c r="G67" s="81">
        <v>1.27</v>
      </c>
      <c r="H67" s="92"/>
      <c r="J67" s="54"/>
      <c r="K67" s="113"/>
      <c r="L67" s="113"/>
      <c r="M67" s="113"/>
    </row>
    <row r="68" spans="1:13" x14ac:dyDescent="0.2">
      <c r="A68">
        <v>83</v>
      </c>
      <c r="B68" s="81">
        <v>707.67</v>
      </c>
      <c r="C68" s="81">
        <v>526.6</v>
      </c>
      <c r="D68" s="98">
        <v>0.10428</v>
      </c>
      <c r="E68" s="90">
        <v>5.1645000000000003</v>
      </c>
      <c r="F68" s="81">
        <v>99.81</v>
      </c>
      <c r="G68" s="81">
        <v>0.75</v>
      </c>
      <c r="H68" s="92"/>
      <c r="J68" s="54"/>
      <c r="K68" s="113"/>
      <c r="L68" s="113"/>
      <c r="M68" s="113"/>
    </row>
    <row r="69" spans="1:13" x14ac:dyDescent="0.2">
      <c r="A69">
        <v>84</v>
      </c>
      <c r="B69" s="81">
        <v>721.04</v>
      </c>
      <c r="C69" s="81">
        <v>544.15</v>
      </c>
      <c r="D69" s="98">
        <v>0.11369</v>
      </c>
      <c r="E69" s="90">
        <v>4.9282000000000004</v>
      </c>
      <c r="F69" s="81">
        <v>84.59</v>
      </c>
      <c r="G69" s="81">
        <v>0.42</v>
      </c>
      <c r="H69" s="92"/>
      <c r="J69" s="54"/>
      <c r="K69" s="113"/>
      <c r="L69" s="113"/>
      <c r="M69" s="113"/>
    </row>
    <row r="70" spans="1:13" x14ac:dyDescent="0.2">
      <c r="A70">
        <v>85</v>
      </c>
      <c r="B70" s="79">
        <v>734.07</v>
      </c>
      <c r="C70" s="79">
        <v>561.57000000000005</v>
      </c>
      <c r="D70" s="96">
        <v>0.12389</v>
      </c>
      <c r="E70" s="88">
        <v>4.6980000000000004</v>
      </c>
      <c r="F70" s="79">
        <v>70.56</v>
      </c>
      <c r="G70" s="79">
        <v>0.22</v>
      </c>
      <c r="H70" s="92"/>
      <c r="J70" s="54"/>
      <c r="K70" s="113"/>
      <c r="L70" s="113"/>
      <c r="M70" s="113"/>
    </row>
    <row r="71" spans="1:13" x14ac:dyDescent="0.2">
      <c r="A71">
        <v>86</v>
      </c>
      <c r="B71" s="80">
        <v>746.74</v>
      </c>
      <c r="C71" s="80">
        <v>578.79999999999995</v>
      </c>
      <c r="D71" s="97">
        <v>0.13494</v>
      </c>
      <c r="E71" s="89">
        <v>4.4741999999999997</v>
      </c>
      <c r="F71" s="80">
        <v>57.83</v>
      </c>
      <c r="G71" s="80">
        <v>0.11</v>
      </c>
      <c r="H71" s="92"/>
      <c r="J71" s="54"/>
      <c r="K71" s="113"/>
      <c r="L71" s="113"/>
      <c r="M71" s="113"/>
    </row>
    <row r="72" spans="1:13" x14ac:dyDescent="0.2">
      <c r="A72">
        <v>87</v>
      </c>
      <c r="B72" s="81">
        <v>759.03</v>
      </c>
      <c r="C72" s="81">
        <v>595.79</v>
      </c>
      <c r="D72" s="98">
        <v>0.14688999999999999</v>
      </c>
      <c r="E72" s="90">
        <v>4.2571000000000003</v>
      </c>
      <c r="F72" s="81">
        <v>46.5</v>
      </c>
      <c r="G72" s="81">
        <v>0.05</v>
      </c>
      <c r="H72" s="92"/>
      <c r="J72" s="54"/>
      <c r="K72" s="113"/>
      <c r="L72" s="113"/>
      <c r="M72" s="113"/>
    </row>
    <row r="73" spans="1:13" x14ac:dyDescent="0.2">
      <c r="A73">
        <v>88</v>
      </c>
      <c r="B73" s="81">
        <v>770.92</v>
      </c>
      <c r="C73" s="81">
        <v>612.51</v>
      </c>
      <c r="D73" s="98">
        <v>0.15981000000000001</v>
      </c>
      <c r="E73" s="90">
        <v>4.0469999999999997</v>
      </c>
      <c r="F73" s="81">
        <v>36.61</v>
      </c>
      <c r="G73" s="81">
        <v>0.02</v>
      </c>
      <c r="H73" s="92"/>
      <c r="J73" s="54"/>
      <c r="K73" s="113"/>
      <c r="L73" s="113"/>
      <c r="M73" s="113"/>
    </row>
    <row r="74" spans="1:13" x14ac:dyDescent="0.2">
      <c r="A74">
        <v>89</v>
      </c>
      <c r="B74" s="81">
        <v>782.41</v>
      </c>
      <c r="C74" s="81">
        <v>628.91999999999996</v>
      </c>
      <c r="D74" s="98">
        <v>0.17374999999999999</v>
      </c>
      <c r="E74" s="90">
        <v>3.8441999999999998</v>
      </c>
      <c r="F74" s="81">
        <v>28.17</v>
      </c>
      <c r="G74" s="81">
        <v>0.01</v>
      </c>
      <c r="H74" s="92"/>
      <c r="J74" s="54"/>
      <c r="K74" s="113"/>
      <c r="L74" s="113"/>
      <c r="M74" s="113"/>
    </row>
    <row r="75" spans="1:13" x14ac:dyDescent="0.2">
      <c r="A75">
        <v>90</v>
      </c>
      <c r="B75" s="79">
        <v>793.46</v>
      </c>
      <c r="C75" s="79">
        <v>644.96</v>
      </c>
      <c r="D75" s="96">
        <v>0.18877000000000002</v>
      </c>
      <c r="E75" s="88">
        <v>3.6488</v>
      </c>
      <c r="F75" s="79">
        <v>21.13</v>
      </c>
      <c r="G75" s="79">
        <v>0</v>
      </c>
      <c r="H75" s="92"/>
      <c r="J75" s="54"/>
      <c r="K75" s="113"/>
      <c r="L75" s="113"/>
      <c r="M75" s="113"/>
    </row>
    <row r="76" spans="1:13" x14ac:dyDescent="0.2">
      <c r="A76">
        <v>91</v>
      </c>
      <c r="B76" s="80">
        <v>804.09</v>
      </c>
      <c r="C76" s="80">
        <v>660.61</v>
      </c>
      <c r="D76" s="97">
        <v>0.20493</v>
      </c>
      <c r="E76" s="89">
        <v>3.4611000000000001</v>
      </c>
      <c r="F76" s="80">
        <v>15.42</v>
      </c>
      <c r="G76" s="80">
        <v>0</v>
      </c>
      <c r="H76" s="92"/>
      <c r="J76" s="54"/>
      <c r="K76" s="113"/>
      <c r="L76" s="113"/>
      <c r="M76" s="113"/>
    </row>
    <row r="77" spans="1:13" x14ac:dyDescent="0.2">
      <c r="A77">
        <v>92</v>
      </c>
      <c r="B77" s="81">
        <v>814.27</v>
      </c>
      <c r="C77" s="81">
        <v>675.83</v>
      </c>
      <c r="D77" s="98">
        <v>0.22227000000000002</v>
      </c>
      <c r="E77" s="90">
        <v>3.2812000000000001</v>
      </c>
      <c r="F77" s="81">
        <v>10.91</v>
      </c>
      <c r="G77" s="81">
        <v>0</v>
      </c>
      <c r="H77" s="92"/>
      <c r="J77" s="54"/>
      <c r="K77" s="113"/>
      <c r="L77" s="113"/>
      <c r="M77" s="113"/>
    </row>
    <row r="78" spans="1:13" x14ac:dyDescent="0.2">
      <c r="A78">
        <v>93</v>
      </c>
      <c r="B78" s="81">
        <v>824.01</v>
      </c>
      <c r="C78" s="81">
        <v>690.59</v>
      </c>
      <c r="D78" s="98">
        <v>0.24086000000000002</v>
      </c>
      <c r="E78" s="90">
        <v>3.1091000000000002</v>
      </c>
      <c r="F78" s="81">
        <v>7.47</v>
      </c>
      <c r="G78" s="81">
        <v>0</v>
      </c>
      <c r="H78" s="92"/>
      <c r="J78" s="54"/>
      <c r="K78" s="113"/>
      <c r="L78" s="113"/>
      <c r="M78" s="113"/>
    </row>
    <row r="79" spans="1:13" x14ac:dyDescent="0.2">
      <c r="A79">
        <v>94</v>
      </c>
      <c r="B79" s="81">
        <v>833.3</v>
      </c>
      <c r="C79" s="81">
        <v>704.86</v>
      </c>
      <c r="D79" s="98">
        <v>0.26073000000000002</v>
      </c>
      <c r="E79" s="90">
        <v>2.9449999999999998</v>
      </c>
      <c r="F79" s="81">
        <v>4.93</v>
      </c>
      <c r="G79" s="81">
        <v>0</v>
      </c>
      <c r="H79" s="92"/>
      <c r="J79" s="54"/>
      <c r="K79" s="113"/>
      <c r="L79" s="113"/>
      <c r="M79" s="113"/>
    </row>
    <row r="80" spans="1:13" x14ac:dyDescent="0.2">
      <c r="A80">
        <v>95</v>
      </c>
      <c r="B80" s="79">
        <v>842.14</v>
      </c>
      <c r="C80" s="79">
        <v>718.61</v>
      </c>
      <c r="D80" s="96">
        <v>0.28191000000000005</v>
      </c>
      <c r="E80" s="88">
        <v>2.7888000000000002</v>
      </c>
      <c r="F80" s="79">
        <v>3.13</v>
      </c>
      <c r="G80" s="79">
        <v>0</v>
      </c>
      <c r="H80" s="92"/>
      <c r="J80" s="54"/>
      <c r="K80" s="113"/>
      <c r="L80" s="113"/>
      <c r="M80" s="113"/>
    </row>
    <row r="81" spans="1:13" x14ac:dyDescent="0.2">
      <c r="A81">
        <v>96</v>
      </c>
      <c r="B81" s="80">
        <v>850.53</v>
      </c>
      <c r="C81" s="80">
        <v>731.83</v>
      </c>
      <c r="D81" s="97">
        <v>0.30445</v>
      </c>
      <c r="E81" s="89">
        <v>2.6406000000000001</v>
      </c>
      <c r="F81" s="80">
        <v>1.9</v>
      </c>
      <c r="G81" s="80">
        <v>0</v>
      </c>
      <c r="H81" s="92"/>
      <c r="J81" s="54"/>
      <c r="K81" s="113"/>
      <c r="L81" s="113"/>
      <c r="M81" s="113"/>
    </row>
    <row r="82" spans="1:13" x14ac:dyDescent="0.2">
      <c r="A82">
        <v>97</v>
      </c>
      <c r="B82" s="81">
        <v>858.48</v>
      </c>
      <c r="C82" s="81">
        <v>744.5</v>
      </c>
      <c r="D82" s="98">
        <v>0.32833999999999997</v>
      </c>
      <c r="E82" s="90">
        <v>2.5002</v>
      </c>
      <c r="F82" s="81">
        <v>1.1000000000000001</v>
      </c>
      <c r="G82" s="81">
        <v>0</v>
      </c>
      <c r="H82" s="92"/>
      <c r="J82" s="54"/>
      <c r="K82" s="113"/>
      <c r="L82" s="113"/>
      <c r="M82" s="113"/>
    </row>
    <row r="83" spans="1:13" x14ac:dyDescent="0.2">
      <c r="A83">
        <v>98</v>
      </c>
      <c r="B83" s="81">
        <v>865.99</v>
      </c>
      <c r="C83" s="81">
        <v>756.61</v>
      </c>
      <c r="D83" s="98">
        <v>0.35360000000000003</v>
      </c>
      <c r="E83" s="90">
        <v>2.3675999999999999</v>
      </c>
      <c r="F83" s="81">
        <v>0.6</v>
      </c>
      <c r="G83" s="81">
        <v>0</v>
      </c>
      <c r="H83" s="92"/>
      <c r="J83" s="54"/>
      <c r="K83" s="113"/>
      <c r="L83" s="113"/>
      <c r="M83" s="113"/>
    </row>
    <row r="84" spans="1:13" x14ac:dyDescent="0.2">
      <c r="A84">
        <v>99</v>
      </c>
      <c r="B84" s="81">
        <v>873.06</v>
      </c>
      <c r="C84" s="81">
        <v>768.13</v>
      </c>
      <c r="D84" s="98">
        <v>0.38019999999999998</v>
      </c>
      <c r="E84" s="90">
        <v>2.2425999999999999</v>
      </c>
      <c r="F84" s="81">
        <v>0.31</v>
      </c>
      <c r="G84" s="81">
        <v>0</v>
      </c>
      <c r="H84" s="92"/>
      <c r="J84" s="54"/>
      <c r="K84" s="113"/>
      <c r="L84" s="113"/>
      <c r="M84" s="113"/>
    </row>
    <row r="85" spans="1:13" x14ac:dyDescent="0.2">
      <c r="A85">
        <v>100</v>
      </c>
      <c r="B85" s="79">
        <v>879.7</v>
      </c>
      <c r="C85" s="79">
        <v>779.08</v>
      </c>
      <c r="D85" s="96">
        <v>0.40811999999999998</v>
      </c>
      <c r="E85" s="88">
        <v>2.1252</v>
      </c>
      <c r="F85" s="79">
        <v>0.15</v>
      </c>
      <c r="G85" s="79">
        <v>0</v>
      </c>
      <c r="H85" s="92"/>
      <c r="J85" s="54"/>
      <c r="K85" s="113"/>
      <c r="L85" s="113"/>
      <c r="M85" s="113"/>
    </row>
    <row r="86" spans="1:13" x14ac:dyDescent="0.2">
      <c r="A86">
        <v>101</v>
      </c>
      <c r="B86" s="80">
        <v>885.93</v>
      </c>
      <c r="C86" s="80">
        <v>789.44</v>
      </c>
      <c r="D86" s="97">
        <v>0.43727999999999995</v>
      </c>
      <c r="E86" s="89">
        <v>2.0152000000000001</v>
      </c>
      <c r="F86" s="80">
        <v>7.0000000000000007E-2</v>
      </c>
      <c r="G86" s="80">
        <v>0</v>
      </c>
      <c r="H86" s="92"/>
      <c r="J86" s="54"/>
      <c r="K86" s="113"/>
      <c r="L86" s="113"/>
      <c r="M86" s="113"/>
    </row>
    <row r="87" spans="1:13" x14ac:dyDescent="0.2">
      <c r="A87">
        <v>102</v>
      </c>
      <c r="B87" s="81">
        <v>891.76</v>
      </c>
      <c r="C87" s="81">
        <v>799.21</v>
      </c>
      <c r="D87" s="98">
        <v>0.46761000000000003</v>
      </c>
      <c r="E87" s="90">
        <v>1.9123000000000001</v>
      </c>
      <c r="F87" s="81">
        <v>0.03</v>
      </c>
      <c r="G87" s="81">
        <v>0</v>
      </c>
      <c r="H87" s="92"/>
      <c r="J87" s="54"/>
      <c r="K87" s="113"/>
      <c r="L87" s="113"/>
      <c r="M87" s="113"/>
    </row>
    <row r="88" spans="1:13" x14ac:dyDescent="0.2">
      <c r="A88">
        <v>103</v>
      </c>
      <c r="B88" s="81">
        <v>897.19</v>
      </c>
      <c r="C88" s="81">
        <v>808.41</v>
      </c>
      <c r="D88" s="98">
        <v>0.49898999999999999</v>
      </c>
      <c r="E88" s="90">
        <v>1.8164</v>
      </c>
      <c r="F88" s="81">
        <v>0.01</v>
      </c>
      <c r="G88" s="81">
        <v>0</v>
      </c>
      <c r="H88" s="92"/>
      <c r="J88" s="54"/>
      <c r="K88" s="113"/>
      <c r="L88" s="113"/>
      <c r="M88" s="113"/>
    </row>
    <row r="89" spans="1:13" x14ac:dyDescent="0.2">
      <c r="A89">
        <v>104</v>
      </c>
      <c r="B89" s="81">
        <v>902.23</v>
      </c>
      <c r="C89" s="81">
        <v>817.02</v>
      </c>
      <c r="D89" s="98">
        <v>0.53127999999999997</v>
      </c>
      <c r="E89" s="90">
        <v>1.7273000000000001</v>
      </c>
      <c r="F89" s="81">
        <v>0</v>
      </c>
      <c r="G89" s="81">
        <v>0</v>
      </c>
      <c r="H89" s="92"/>
      <c r="J89" s="54"/>
      <c r="K89" s="113"/>
      <c r="L89" s="113"/>
      <c r="M89" s="113"/>
    </row>
    <row r="90" spans="1:13" x14ac:dyDescent="0.2">
      <c r="A90">
        <v>105</v>
      </c>
      <c r="B90" s="79">
        <v>906.9</v>
      </c>
      <c r="C90" s="79">
        <v>825.06</v>
      </c>
      <c r="D90" s="96">
        <v>0.56428999999999996</v>
      </c>
      <c r="E90" s="88">
        <v>1.6447000000000001</v>
      </c>
      <c r="F90" s="79">
        <v>0</v>
      </c>
      <c r="G90" s="79">
        <v>0</v>
      </c>
      <c r="H90" s="92"/>
      <c r="J90" s="54"/>
      <c r="K90" s="113"/>
      <c r="L90" s="113"/>
      <c r="M90" s="113"/>
    </row>
    <row r="91" spans="1:13" x14ac:dyDescent="0.2">
      <c r="A91">
        <v>106</v>
      </c>
      <c r="B91" s="80">
        <v>911.22</v>
      </c>
      <c r="C91" s="80">
        <v>832.53</v>
      </c>
      <c r="D91" s="97">
        <v>0.59783000000000008</v>
      </c>
      <c r="E91" s="89">
        <v>1.5685</v>
      </c>
      <c r="F91" s="80">
        <v>0</v>
      </c>
      <c r="G91" s="80">
        <v>0</v>
      </c>
      <c r="H91" s="92"/>
      <c r="J91" s="54"/>
      <c r="K91" s="113"/>
      <c r="L91" s="113"/>
      <c r="M91" s="113"/>
    </row>
    <row r="92" spans="1:13" x14ac:dyDescent="0.2">
      <c r="A92">
        <v>107</v>
      </c>
      <c r="B92" s="81">
        <v>915.19</v>
      </c>
      <c r="C92" s="81">
        <v>839.46</v>
      </c>
      <c r="D92" s="98">
        <v>0.63163999999999998</v>
      </c>
      <c r="E92" s="90">
        <v>1.4984</v>
      </c>
      <c r="F92" s="81">
        <v>0</v>
      </c>
      <c r="G92" s="81">
        <v>0</v>
      </c>
      <c r="H92" s="92"/>
      <c r="J92" s="54"/>
      <c r="K92" s="113"/>
      <c r="L92" s="113"/>
      <c r="M92" s="113"/>
    </row>
    <row r="93" spans="1:13" x14ac:dyDescent="0.2">
      <c r="A93">
        <v>108</v>
      </c>
      <c r="B93" s="81">
        <v>918.82</v>
      </c>
      <c r="C93" s="81">
        <v>845.84</v>
      </c>
      <c r="D93" s="98">
        <v>0.6654500000000001</v>
      </c>
      <c r="E93" s="90">
        <v>1.4340999999999999</v>
      </c>
      <c r="F93" s="81">
        <v>0</v>
      </c>
      <c r="G93" s="81">
        <v>0</v>
      </c>
      <c r="H93" s="92"/>
      <c r="J93" s="54"/>
      <c r="K93" s="113"/>
      <c r="L93" s="113"/>
      <c r="M93" s="113"/>
    </row>
    <row r="94" spans="1:13" x14ac:dyDescent="0.2">
      <c r="A94">
        <v>109</v>
      </c>
      <c r="B94" s="81">
        <v>922.14</v>
      </c>
      <c r="C94" s="81">
        <v>851.69</v>
      </c>
      <c r="D94" s="98">
        <v>0.69896999999999998</v>
      </c>
      <c r="E94" s="90">
        <v>1.3754999999999999</v>
      </c>
      <c r="F94" s="81">
        <v>0</v>
      </c>
      <c r="G94" s="81">
        <v>0</v>
      </c>
      <c r="H94" s="92"/>
      <c r="J94" s="54"/>
      <c r="K94" s="113"/>
      <c r="L94" s="113"/>
      <c r="M94" s="113"/>
    </row>
    <row r="95" spans="1:13" x14ac:dyDescent="0.2">
      <c r="A95">
        <v>110</v>
      </c>
      <c r="B95" s="82">
        <v>925.15</v>
      </c>
      <c r="C95" s="82">
        <v>857.04</v>
      </c>
      <c r="D95" s="99">
        <v>0.73187000000000002</v>
      </c>
      <c r="E95" s="91">
        <v>1.3223</v>
      </c>
      <c r="F95" s="82">
        <v>0</v>
      </c>
      <c r="G95" s="82">
        <v>0</v>
      </c>
      <c r="H95" s="92"/>
      <c r="J95" s="54"/>
      <c r="K95" s="113"/>
      <c r="L95" s="113"/>
      <c r="M95" s="113"/>
    </row>
    <row r="96" spans="1:13" x14ac:dyDescent="0.2">
      <c r="E96" s="84"/>
      <c r="F96" s="87"/>
      <c r="G96" s="87"/>
      <c r="H96" s="92"/>
      <c r="K96" s="95"/>
    </row>
  </sheetData>
  <pageMargins left="0.75" right="0.75" top="1" bottom="1" header="0.5" footer="0.5"/>
  <pageSetup orientation="portrait" horizontalDpi="4294967292" verticalDpi="429496729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R96"/>
  <sheetViews>
    <sheetView workbookViewId="0">
      <selection activeCell="G9" sqref="G9"/>
    </sheetView>
  </sheetViews>
  <sheetFormatPr baseColWidth="10" defaultRowHeight="16" x14ac:dyDescent="0.2"/>
  <cols>
    <col min="1" max="1" width="14.5" customWidth="1"/>
    <col min="4" max="4" width="9.1640625" customWidth="1"/>
    <col min="5" max="5" width="6.5" style="85" bestFit="1" customWidth="1"/>
    <col min="6" max="6" width="5.83203125" style="94" customWidth="1"/>
    <col min="7" max="7" width="18.6640625" bestFit="1" customWidth="1"/>
    <col min="8" max="8" width="9.1640625" customWidth="1"/>
    <col min="9" max="9" width="2.6640625" customWidth="1"/>
    <col min="10" max="10" width="9.1640625" customWidth="1"/>
    <col min="11" max="11" width="26.33203125" customWidth="1"/>
    <col min="12" max="12" width="23.33203125" customWidth="1"/>
    <col min="13" max="13" width="23" customWidth="1"/>
    <col min="14" max="14" width="25.33203125" customWidth="1"/>
    <col min="15" max="15" width="26" bestFit="1" customWidth="1"/>
    <col min="16" max="16" width="3.83203125" customWidth="1"/>
    <col min="17" max="17" width="3.1640625" customWidth="1"/>
    <col min="18" max="18" width="19.1640625" bestFit="1" customWidth="1"/>
  </cols>
  <sheetData>
    <row r="1" spans="1:18" x14ac:dyDescent="0.2">
      <c r="A1" s="2"/>
      <c r="E1" s="86"/>
      <c r="F1" s="93"/>
      <c r="K1" t="s">
        <v>176</v>
      </c>
    </row>
    <row r="2" spans="1:18" x14ac:dyDescent="0.2">
      <c r="E2" s="87"/>
      <c r="F2" s="92"/>
      <c r="I2" s="114"/>
      <c r="J2" s="114"/>
      <c r="K2" s="114">
        <v>13.3</v>
      </c>
      <c r="L2" s="114" t="s">
        <v>180</v>
      </c>
      <c r="M2" s="114" t="s">
        <v>185</v>
      </c>
      <c r="N2" s="114" t="s">
        <v>186</v>
      </c>
      <c r="O2" s="114" t="s">
        <v>187</v>
      </c>
      <c r="R2">
        <v>13.6</v>
      </c>
    </row>
    <row r="3" spans="1:18" ht="16" customHeight="1" x14ac:dyDescent="0.2">
      <c r="B3" t="s">
        <v>66</v>
      </c>
      <c r="E3" s="87"/>
      <c r="F3" s="92"/>
      <c r="K3" t="s">
        <v>177</v>
      </c>
      <c r="L3" t="s">
        <v>181</v>
      </c>
      <c r="M3" t="s">
        <v>182</v>
      </c>
      <c r="N3" t="s">
        <v>183</v>
      </c>
      <c r="O3" t="s">
        <v>184</v>
      </c>
      <c r="R3" t="s">
        <v>188</v>
      </c>
    </row>
    <row r="4" spans="1:18" x14ac:dyDescent="0.2">
      <c r="A4" t="s">
        <v>0</v>
      </c>
      <c r="B4" s="83" t="s">
        <v>164</v>
      </c>
      <c r="C4" s="83" t="s">
        <v>165</v>
      </c>
      <c r="D4" t="s">
        <v>9</v>
      </c>
      <c r="E4" s="83" t="s">
        <v>157</v>
      </c>
      <c r="F4" s="93"/>
      <c r="J4" t="s">
        <v>158</v>
      </c>
    </row>
    <row r="5" spans="1:18" x14ac:dyDescent="0.2">
      <c r="A5">
        <v>20</v>
      </c>
      <c r="B5" s="79">
        <v>65.28</v>
      </c>
      <c r="C5" s="79">
        <v>14.3</v>
      </c>
      <c r="D5" s="96">
        <v>1.0300000000000001E-3</v>
      </c>
      <c r="E5" s="88">
        <v>16.513300000000001</v>
      </c>
      <c r="F5"/>
      <c r="G5" t="s">
        <v>178</v>
      </c>
      <c r="H5" s="7"/>
      <c r="J5">
        <v>0</v>
      </c>
      <c r="K5" s="101"/>
      <c r="L5" s="102"/>
      <c r="M5" s="102"/>
      <c r="N5" s="102"/>
      <c r="O5" s="103"/>
      <c r="R5" s="65"/>
    </row>
    <row r="6" spans="1:18" x14ac:dyDescent="0.2">
      <c r="A6">
        <v>21</v>
      </c>
      <c r="B6" s="80">
        <v>68.239999999999995</v>
      </c>
      <c r="C6" s="80">
        <v>15.06</v>
      </c>
      <c r="D6" s="97">
        <v>1.06E-3</v>
      </c>
      <c r="E6" s="89">
        <v>16.461099999999998</v>
      </c>
      <c r="F6"/>
      <c r="G6" t="s">
        <v>179</v>
      </c>
      <c r="H6" s="9"/>
      <c r="J6">
        <v>1</v>
      </c>
      <c r="K6" s="104"/>
      <c r="L6" s="100"/>
      <c r="M6" s="100"/>
      <c r="N6" s="100"/>
      <c r="O6" s="105"/>
    </row>
    <row r="7" spans="1:18" x14ac:dyDescent="0.2">
      <c r="A7">
        <v>22</v>
      </c>
      <c r="B7" s="81">
        <v>71.349999999999994</v>
      </c>
      <c r="C7" s="81">
        <v>15.87</v>
      </c>
      <c r="D7" s="98">
        <v>1.1000000000000001E-3</v>
      </c>
      <c r="E7" s="90">
        <v>16.406199999999998</v>
      </c>
      <c r="F7"/>
      <c r="J7">
        <v>2</v>
      </c>
      <c r="K7" s="104"/>
      <c r="L7" s="100"/>
      <c r="M7" s="100"/>
      <c r="N7" s="100"/>
      <c r="O7" s="105"/>
    </row>
    <row r="8" spans="1:18" x14ac:dyDescent="0.2">
      <c r="A8">
        <v>23</v>
      </c>
      <c r="B8" s="81">
        <v>74.62</v>
      </c>
      <c r="C8" s="81">
        <v>16.760000000000002</v>
      </c>
      <c r="D8" s="98">
        <v>1.1299999999999999E-3</v>
      </c>
      <c r="E8" s="90">
        <v>16.348500000000001</v>
      </c>
      <c r="F8"/>
      <c r="J8">
        <v>3</v>
      </c>
      <c r="K8" s="104"/>
      <c r="L8" s="100"/>
      <c r="M8" s="100"/>
      <c r="N8" s="100"/>
      <c r="O8" s="105"/>
    </row>
    <row r="9" spans="1:18" x14ac:dyDescent="0.2">
      <c r="A9">
        <v>24</v>
      </c>
      <c r="B9" s="81">
        <v>78.05</v>
      </c>
      <c r="C9" s="81">
        <v>17.71</v>
      </c>
      <c r="D9" s="98">
        <v>1.1799999999999998E-3</v>
      </c>
      <c r="E9" s="90">
        <v>16.2879</v>
      </c>
      <c r="F9"/>
      <c r="J9">
        <v>4</v>
      </c>
      <c r="K9" s="104"/>
      <c r="L9" s="100"/>
      <c r="M9" s="100"/>
      <c r="N9" s="100"/>
      <c r="O9" s="105"/>
    </row>
    <row r="10" spans="1:18" x14ac:dyDescent="0.2">
      <c r="A10">
        <v>25</v>
      </c>
      <c r="B10" s="79">
        <v>81.650000000000006</v>
      </c>
      <c r="C10" s="79">
        <v>18.75</v>
      </c>
      <c r="D10" s="96">
        <v>1.2199999999999999E-3</v>
      </c>
      <c r="E10" s="88">
        <v>16.2242</v>
      </c>
      <c r="F10"/>
      <c r="J10">
        <v>5</v>
      </c>
      <c r="K10" s="104"/>
      <c r="L10" s="100"/>
      <c r="M10" s="100"/>
      <c r="N10" s="100"/>
      <c r="O10" s="105"/>
    </row>
    <row r="11" spans="1:18" x14ac:dyDescent="0.2">
      <c r="A11">
        <v>26</v>
      </c>
      <c r="B11" s="80">
        <v>85.43</v>
      </c>
      <c r="C11" s="80">
        <v>19.87</v>
      </c>
      <c r="D11" s="97">
        <v>1.2700000000000001E-3</v>
      </c>
      <c r="E11" s="89">
        <v>16.157399999999999</v>
      </c>
      <c r="F11"/>
      <c r="J11">
        <v>6</v>
      </c>
      <c r="K11" s="104"/>
      <c r="L11" s="100"/>
      <c r="M11" s="100"/>
      <c r="N11" s="100"/>
      <c r="O11" s="105"/>
    </row>
    <row r="12" spans="1:18" x14ac:dyDescent="0.2">
      <c r="A12">
        <v>27</v>
      </c>
      <c r="B12" s="81">
        <v>89.39</v>
      </c>
      <c r="C12" s="81">
        <v>21.07</v>
      </c>
      <c r="D12" s="98">
        <v>1.33E-3</v>
      </c>
      <c r="E12" s="90">
        <v>16.087399999999999</v>
      </c>
      <c r="F12"/>
      <c r="J12">
        <v>7</v>
      </c>
      <c r="K12" s="104"/>
      <c r="L12" s="100"/>
      <c r="M12" s="100"/>
      <c r="N12" s="100"/>
      <c r="O12" s="105"/>
    </row>
    <row r="13" spans="1:18" x14ac:dyDescent="0.2">
      <c r="A13">
        <v>28</v>
      </c>
      <c r="B13" s="81">
        <v>93.55</v>
      </c>
      <c r="C13" s="81">
        <v>22.38</v>
      </c>
      <c r="D13" s="98">
        <v>1.39E-3</v>
      </c>
      <c r="E13" s="90">
        <v>16.0139</v>
      </c>
      <c r="F13"/>
      <c r="J13">
        <v>8</v>
      </c>
      <c r="K13" s="104"/>
      <c r="L13" s="100"/>
      <c r="M13" s="100"/>
      <c r="N13" s="100"/>
      <c r="O13" s="105"/>
    </row>
    <row r="14" spans="1:18" x14ac:dyDescent="0.2">
      <c r="A14">
        <v>29</v>
      </c>
      <c r="B14" s="81">
        <v>97.91</v>
      </c>
      <c r="C14" s="81">
        <v>23.79</v>
      </c>
      <c r="D14" s="98">
        <v>1.4599999999999999E-3</v>
      </c>
      <c r="E14" s="90">
        <v>15.9369</v>
      </c>
      <c r="F14"/>
      <c r="J14">
        <v>9</v>
      </c>
      <c r="K14" s="104"/>
      <c r="L14" s="100"/>
      <c r="M14" s="100"/>
      <c r="N14" s="100"/>
      <c r="O14" s="105"/>
    </row>
    <row r="15" spans="1:18" x14ac:dyDescent="0.2">
      <c r="A15">
        <v>30</v>
      </c>
      <c r="B15" s="79">
        <v>102.48</v>
      </c>
      <c r="C15" s="79">
        <v>25.31</v>
      </c>
      <c r="D15" s="96">
        <v>1.5300000000000001E-3</v>
      </c>
      <c r="E15" s="88">
        <v>15.856199999999999</v>
      </c>
      <c r="F15"/>
      <c r="J15">
        <v>10</v>
      </c>
      <c r="K15" s="104"/>
      <c r="L15" s="100"/>
      <c r="M15" s="100"/>
      <c r="N15" s="100"/>
      <c r="O15" s="105"/>
    </row>
    <row r="16" spans="1:18" x14ac:dyDescent="0.2">
      <c r="A16">
        <v>31</v>
      </c>
      <c r="B16" s="80">
        <v>107.27</v>
      </c>
      <c r="C16" s="80">
        <v>26.95</v>
      </c>
      <c r="D16" s="97">
        <v>1.6100000000000001E-3</v>
      </c>
      <c r="E16" s="89">
        <v>15.771599999999999</v>
      </c>
      <c r="F16"/>
      <c r="J16">
        <v>11</v>
      </c>
      <c r="K16" s="104"/>
      <c r="L16" s="100"/>
      <c r="M16" s="100"/>
      <c r="N16" s="100"/>
      <c r="O16" s="105"/>
    </row>
    <row r="17" spans="1:15" x14ac:dyDescent="0.2">
      <c r="A17">
        <v>32</v>
      </c>
      <c r="B17" s="81">
        <v>112.27</v>
      </c>
      <c r="C17" s="81">
        <v>28.72</v>
      </c>
      <c r="D17" s="98">
        <v>1.6999999999999999E-3</v>
      </c>
      <c r="E17" s="90">
        <v>15.683199999999999</v>
      </c>
      <c r="F17"/>
      <c r="J17">
        <v>12</v>
      </c>
      <c r="K17" s="104"/>
      <c r="L17" s="100"/>
      <c r="M17" s="100"/>
      <c r="N17" s="100"/>
      <c r="O17" s="105"/>
    </row>
    <row r="18" spans="1:15" x14ac:dyDescent="0.2">
      <c r="A18">
        <v>33</v>
      </c>
      <c r="B18" s="81">
        <v>117.51</v>
      </c>
      <c r="C18" s="81">
        <v>30.63</v>
      </c>
      <c r="D18" s="98">
        <v>1.7900000000000001E-3</v>
      </c>
      <c r="E18" s="90">
        <v>15.5906</v>
      </c>
      <c r="F18"/>
      <c r="J18">
        <v>13</v>
      </c>
      <c r="K18" s="104"/>
      <c r="L18" s="100"/>
      <c r="M18" s="100"/>
      <c r="N18" s="100"/>
      <c r="O18" s="105"/>
    </row>
    <row r="19" spans="1:15" x14ac:dyDescent="0.2">
      <c r="A19">
        <v>34</v>
      </c>
      <c r="B19" s="81">
        <v>122.99</v>
      </c>
      <c r="C19" s="81">
        <v>32.68</v>
      </c>
      <c r="D19" s="98">
        <v>1.9E-3</v>
      </c>
      <c r="E19" s="90">
        <v>15.4938</v>
      </c>
      <c r="F19"/>
      <c r="J19">
        <v>14</v>
      </c>
      <c r="K19" s="104"/>
      <c r="L19" s="100"/>
      <c r="M19" s="100"/>
      <c r="N19" s="100"/>
      <c r="O19" s="105"/>
    </row>
    <row r="20" spans="1:15" x14ac:dyDescent="0.2">
      <c r="A20">
        <v>35</v>
      </c>
      <c r="B20" s="79">
        <v>128.72</v>
      </c>
      <c r="C20" s="79">
        <v>34.880000000000003</v>
      </c>
      <c r="D20" s="96">
        <v>2.0099999999999996E-3</v>
      </c>
      <c r="E20" s="88">
        <v>15.3927</v>
      </c>
      <c r="F20"/>
      <c r="J20">
        <v>15</v>
      </c>
      <c r="K20" s="104"/>
      <c r="L20" s="100"/>
      <c r="M20" s="100"/>
      <c r="N20" s="100"/>
      <c r="O20" s="105"/>
    </row>
    <row r="21" spans="1:15" x14ac:dyDescent="0.2">
      <c r="A21">
        <v>36</v>
      </c>
      <c r="B21" s="80">
        <v>134.69999999999999</v>
      </c>
      <c r="C21" s="80">
        <v>37.26</v>
      </c>
      <c r="D21" s="97">
        <v>2.14E-3</v>
      </c>
      <c r="E21" s="89">
        <v>15.287000000000001</v>
      </c>
      <c r="F21"/>
      <c r="J21">
        <v>16</v>
      </c>
      <c r="K21" s="104"/>
      <c r="L21" s="100"/>
      <c r="M21" s="100"/>
      <c r="N21" s="100"/>
      <c r="O21" s="105"/>
    </row>
    <row r="22" spans="1:15" x14ac:dyDescent="0.2">
      <c r="A22">
        <v>37</v>
      </c>
      <c r="B22" s="81">
        <v>140.94</v>
      </c>
      <c r="C22" s="81">
        <v>39.81</v>
      </c>
      <c r="D22" s="98">
        <v>2.2799999999999999E-3</v>
      </c>
      <c r="E22" s="90">
        <v>15.1767</v>
      </c>
      <c r="F22"/>
      <c r="J22">
        <v>17</v>
      </c>
      <c r="K22" s="104"/>
      <c r="L22" s="100"/>
      <c r="M22" s="100"/>
      <c r="N22" s="100"/>
      <c r="O22" s="105"/>
    </row>
    <row r="23" spans="1:15" x14ac:dyDescent="0.2">
      <c r="A23">
        <v>38</v>
      </c>
      <c r="B23" s="81">
        <v>147.44999999999999</v>
      </c>
      <c r="C23" s="81">
        <v>42.54</v>
      </c>
      <c r="D23" s="98">
        <v>2.4300000000000003E-3</v>
      </c>
      <c r="E23" s="90">
        <v>15.0617</v>
      </c>
      <c r="F23"/>
      <c r="J23">
        <v>18</v>
      </c>
      <c r="K23" s="104"/>
      <c r="L23" s="100"/>
      <c r="M23" s="100"/>
      <c r="N23" s="100"/>
      <c r="O23" s="105"/>
    </row>
    <row r="24" spans="1:15" x14ac:dyDescent="0.2">
      <c r="A24">
        <v>39</v>
      </c>
      <c r="B24" s="81">
        <v>154.24</v>
      </c>
      <c r="C24" s="81">
        <v>45.48</v>
      </c>
      <c r="D24" s="98">
        <v>2.5999999999999999E-3</v>
      </c>
      <c r="E24" s="90">
        <v>14.941700000000001</v>
      </c>
      <c r="F24"/>
      <c r="J24">
        <v>19</v>
      </c>
      <c r="K24" s="104"/>
      <c r="L24" s="100"/>
      <c r="M24" s="100"/>
      <c r="N24" s="100"/>
      <c r="O24" s="105"/>
    </row>
    <row r="25" spans="1:15" x14ac:dyDescent="0.2">
      <c r="A25">
        <v>40</v>
      </c>
      <c r="B25" s="79">
        <v>161.32</v>
      </c>
      <c r="C25" s="79">
        <v>48.63</v>
      </c>
      <c r="D25" s="96">
        <v>2.7799999999999999E-3</v>
      </c>
      <c r="E25" s="88">
        <v>14.816700000000001</v>
      </c>
      <c r="F25"/>
      <c r="J25">
        <v>20</v>
      </c>
      <c r="K25" s="104"/>
      <c r="L25" s="100"/>
      <c r="M25" s="100"/>
      <c r="N25" s="100"/>
      <c r="O25" s="105"/>
    </row>
    <row r="26" spans="1:15" x14ac:dyDescent="0.2">
      <c r="A26">
        <v>41</v>
      </c>
      <c r="B26" s="80">
        <v>168.69</v>
      </c>
      <c r="C26" s="80">
        <v>52.01</v>
      </c>
      <c r="D26" s="97">
        <v>2.98E-3</v>
      </c>
      <c r="E26" s="89">
        <v>14.686500000000001</v>
      </c>
      <c r="F26"/>
      <c r="J26">
        <v>21</v>
      </c>
      <c r="K26" s="104"/>
      <c r="L26" s="100"/>
      <c r="M26" s="100"/>
      <c r="N26" s="100"/>
      <c r="O26" s="105"/>
    </row>
    <row r="27" spans="1:15" x14ac:dyDescent="0.2">
      <c r="A27">
        <v>42</v>
      </c>
      <c r="B27" s="81">
        <v>176.35</v>
      </c>
      <c r="C27" s="81">
        <v>55.62</v>
      </c>
      <c r="D27" s="98">
        <v>3.2000000000000002E-3</v>
      </c>
      <c r="E27" s="90">
        <v>14.5511</v>
      </c>
      <c r="F27"/>
      <c r="J27">
        <v>22</v>
      </c>
      <c r="K27" s="104"/>
      <c r="L27" s="100"/>
      <c r="M27" s="100"/>
      <c r="N27" s="100"/>
      <c r="O27" s="105"/>
    </row>
    <row r="28" spans="1:15" x14ac:dyDescent="0.2">
      <c r="A28">
        <v>43</v>
      </c>
      <c r="B28" s="81">
        <v>184.32</v>
      </c>
      <c r="C28" s="81">
        <v>59.48</v>
      </c>
      <c r="D28" s="98">
        <v>3.4399999999999999E-3</v>
      </c>
      <c r="E28" s="90">
        <v>14.410299999999999</v>
      </c>
      <c r="F28"/>
      <c r="J28">
        <v>23</v>
      </c>
      <c r="K28" s="104"/>
      <c r="L28" s="100"/>
      <c r="M28" s="100"/>
      <c r="N28" s="100"/>
      <c r="O28" s="105"/>
    </row>
    <row r="29" spans="1:15" x14ac:dyDescent="0.2">
      <c r="A29">
        <v>44</v>
      </c>
      <c r="B29" s="81">
        <v>192.6</v>
      </c>
      <c r="C29" s="81">
        <v>63.61</v>
      </c>
      <c r="D29" s="98">
        <v>3.7099999999999998E-3</v>
      </c>
      <c r="E29" s="90">
        <v>14.263999999999999</v>
      </c>
      <c r="F29"/>
      <c r="J29">
        <v>24</v>
      </c>
      <c r="K29" s="104"/>
      <c r="L29" s="100"/>
      <c r="M29" s="100"/>
      <c r="N29" s="100"/>
      <c r="O29" s="105"/>
    </row>
    <row r="30" spans="1:15" x14ac:dyDescent="0.2">
      <c r="A30">
        <v>45</v>
      </c>
      <c r="B30" s="79">
        <v>201.2</v>
      </c>
      <c r="C30" s="79">
        <v>68.02</v>
      </c>
      <c r="D30" s="96">
        <v>4.0000000000000001E-3</v>
      </c>
      <c r="E30" s="88">
        <v>14.1122</v>
      </c>
      <c r="F30"/>
      <c r="J30">
        <v>25</v>
      </c>
      <c r="K30" s="104"/>
      <c r="L30" s="100"/>
      <c r="M30" s="100"/>
      <c r="N30" s="100"/>
      <c r="O30" s="105"/>
    </row>
    <row r="31" spans="1:15" x14ac:dyDescent="0.2">
      <c r="A31">
        <v>46</v>
      </c>
      <c r="B31" s="80">
        <v>210.11</v>
      </c>
      <c r="C31" s="80">
        <v>72.72</v>
      </c>
      <c r="D31" s="97">
        <v>4.3099999999999996E-3</v>
      </c>
      <c r="E31" s="89">
        <v>13.954700000000001</v>
      </c>
      <c r="F31"/>
      <c r="J31">
        <v>26</v>
      </c>
      <c r="K31" s="104"/>
      <c r="L31" s="100"/>
      <c r="M31" s="100"/>
      <c r="N31" s="100"/>
      <c r="O31" s="105"/>
    </row>
    <row r="32" spans="1:15" x14ac:dyDescent="0.2">
      <c r="A32">
        <v>47</v>
      </c>
      <c r="B32" s="81">
        <v>219.35</v>
      </c>
      <c r="C32" s="81">
        <v>77.73</v>
      </c>
      <c r="D32" s="98">
        <v>4.6600000000000001E-3</v>
      </c>
      <c r="E32" s="90">
        <v>13.791499999999999</v>
      </c>
      <c r="F32"/>
      <c r="J32">
        <v>27</v>
      </c>
      <c r="K32" s="104"/>
      <c r="L32" s="100"/>
      <c r="M32" s="100"/>
      <c r="N32" s="100"/>
      <c r="O32" s="105"/>
    </row>
    <row r="33" spans="1:15" x14ac:dyDescent="0.2">
      <c r="A33">
        <v>48</v>
      </c>
      <c r="B33" s="81">
        <v>228.92</v>
      </c>
      <c r="C33" s="81">
        <v>83.06</v>
      </c>
      <c r="D33" s="98">
        <v>5.0400000000000002E-3</v>
      </c>
      <c r="E33" s="90">
        <v>13.6225</v>
      </c>
      <c r="F33"/>
      <c r="J33">
        <v>28</v>
      </c>
      <c r="K33" s="104"/>
      <c r="L33" s="100"/>
      <c r="M33" s="100"/>
      <c r="N33" s="100"/>
      <c r="O33" s="105"/>
    </row>
    <row r="34" spans="1:15" x14ac:dyDescent="0.2">
      <c r="A34">
        <v>49</v>
      </c>
      <c r="B34" s="81">
        <v>238.81</v>
      </c>
      <c r="C34" s="81">
        <v>88.73</v>
      </c>
      <c r="D34" s="98">
        <v>5.4599999999999996E-3</v>
      </c>
      <c r="E34" s="90">
        <v>13.4476</v>
      </c>
      <c r="F34"/>
      <c r="J34">
        <v>29</v>
      </c>
      <c r="K34" s="104"/>
      <c r="L34" s="100"/>
      <c r="M34" s="100"/>
      <c r="N34" s="100"/>
      <c r="O34" s="105"/>
    </row>
    <row r="35" spans="1:15" x14ac:dyDescent="0.2">
      <c r="A35">
        <v>50</v>
      </c>
      <c r="B35" s="79">
        <v>249.04</v>
      </c>
      <c r="C35" s="79">
        <v>94.75</v>
      </c>
      <c r="D35" s="96">
        <v>5.9199999999999999E-3</v>
      </c>
      <c r="E35" s="88">
        <v>13.266999999999999</v>
      </c>
      <c r="F35"/>
      <c r="J35">
        <v>30</v>
      </c>
      <c r="K35" s="104"/>
      <c r="L35" s="100"/>
      <c r="M35" s="100"/>
      <c r="N35" s="100"/>
      <c r="O35" s="105"/>
    </row>
    <row r="36" spans="1:15" x14ac:dyDescent="0.2">
      <c r="A36">
        <v>51</v>
      </c>
      <c r="B36" s="80">
        <v>259.60000000000002</v>
      </c>
      <c r="C36" s="80">
        <v>101.14</v>
      </c>
      <c r="D36" s="97">
        <v>6.4200000000000004E-3</v>
      </c>
      <c r="E36" s="89">
        <v>13.080399999999999</v>
      </c>
      <c r="F36"/>
      <c r="J36">
        <v>31</v>
      </c>
      <c r="K36" s="104"/>
      <c r="L36" s="100"/>
      <c r="M36" s="100"/>
      <c r="N36" s="100"/>
      <c r="O36" s="105"/>
    </row>
    <row r="37" spans="1:15" x14ac:dyDescent="0.2">
      <c r="A37">
        <v>52</v>
      </c>
      <c r="B37" s="81">
        <v>270.49</v>
      </c>
      <c r="C37" s="81">
        <v>107.91</v>
      </c>
      <c r="D37" s="98">
        <v>6.9699999999999996E-3</v>
      </c>
      <c r="E37" s="90">
        <v>12.888</v>
      </c>
      <c r="F37"/>
      <c r="J37">
        <v>32</v>
      </c>
      <c r="K37" s="104"/>
      <c r="L37" s="100"/>
      <c r="M37" s="100"/>
      <c r="N37" s="100"/>
      <c r="O37" s="105"/>
    </row>
    <row r="38" spans="1:15" x14ac:dyDescent="0.2">
      <c r="A38">
        <v>53</v>
      </c>
      <c r="B38" s="81">
        <v>281.70999999999998</v>
      </c>
      <c r="C38" s="81">
        <v>115.08</v>
      </c>
      <c r="D38" s="98">
        <v>7.5799999999999999E-3</v>
      </c>
      <c r="E38" s="90">
        <v>12.6898</v>
      </c>
      <c r="F38"/>
      <c r="J38">
        <v>33</v>
      </c>
      <c r="K38" s="104"/>
      <c r="L38" s="100"/>
      <c r="M38" s="100"/>
      <c r="N38" s="100"/>
      <c r="O38" s="105"/>
    </row>
    <row r="39" spans="1:15" x14ac:dyDescent="0.2">
      <c r="A39">
        <v>54</v>
      </c>
      <c r="B39" s="81">
        <v>293.26</v>
      </c>
      <c r="C39" s="81">
        <v>122.66</v>
      </c>
      <c r="D39" s="98">
        <v>8.2400000000000008E-3</v>
      </c>
      <c r="E39" s="90">
        <v>12.4857</v>
      </c>
      <c r="F39"/>
      <c r="J39">
        <v>34</v>
      </c>
      <c r="K39" s="104"/>
      <c r="L39" s="100"/>
      <c r="M39" s="100"/>
      <c r="N39" s="100"/>
      <c r="O39" s="105"/>
    </row>
    <row r="40" spans="1:15" x14ac:dyDescent="0.2">
      <c r="A40">
        <v>55</v>
      </c>
      <c r="B40" s="79">
        <v>305.13</v>
      </c>
      <c r="C40" s="79">
        <v>130.66</v>
      </c>
      <c r="D40" s="96">
        <v>8.9600000000000009E-3</v>
      </c>
      <c r="E40" s="88">
        <v>12.276</v>
      </c>
      <c r="F40"/>
      <c r="J40">
        <v>35</v>
      </c>
      <c r="K40" s="104"/>
      <c r="L40" s="100"/>
      <c r="M40" s="100"/>
      <c r="N40" s="100"/>
      <c r="O40" s="105"/>
    </row>
    <row r="41" spans="1:15" x14ac:dyDescent="0.2">
      <c r="A41">
        <v>56</v>
      </c>
      <c r="B41" s="80">
        <v>317.32</v>
      </c>
      <c r="C41" s="80">
        <v>139.09</v>
      </c>
      <c r="D41" s="97">
        <v>9.75E-3</v>
      </c>
      <c r="E41" s="89">
        <v>12.060600000000001</v>
      </c>
      <c r="F41"/>
      <c r="J41">
        <v>36</v>
      </c>
      <c r="K41" s="104"/>
      <c r="L41" s="100"/>
      <c r="M41" s="100"/>
      <c r="N41" s="100"/>
      <c r="O41" s="105"/>
    </row>
    <row r="42" spans="1:15" x14ac:dyDescent="0.2">
      <c r="A42">
        <v>57</v>
      </c>
      <c r="B42" s="81">
        <v>329.83</v>
      </c>
      <c r="C42" s="81">
        <v>147.97</v>
      </c>
      <c r="D42" s="98">
        <v>1.0619999999999999E-2</v>
      </c>
      <c r="E42" s="90">
        <v>11.839700000000001</v>
      </c>
      <c r="F42"/>
      <c r="J42">
        <v>37</v>
      </c>
      <c r="K42" s="104"/>
      <c r="L42" s="100"/>
      <c r="M42" s="100"/>
      <c r="N42" s="100"/>
      <c r="O42" s="105"/>
    </row>
    <row r="43" spans="1:15" x14ac:dyDescent="0.2">
      <c r="A43">
        <v>58</v>
      </c>
      <c r="B43" s="81">
        <v>342.63</v>
      </c>
      <c r="C43" s="81">
        <v>157.31</v>
      </c>
      <c r="D43" s="98">
        <v>1.158E-2</v>
      </c>
      <c r="E43" s="90">
        <v>11.6135</v>
      </c>
      <c r="F43"/>
      <c r="J43">
        <v>38</v>
      </c>
      <c r="K43" s="104"/>
      <c r="L43" s="100"/>
      <c r="M43" s="100"/>
      <c r="N43" s="100"/>
      <c r="O43" s="105"/>
    </row>
    <row r="44" spans="1:15" x14ac:dyDescent="0.2">
      <c r="A44">
        <v>59</v>
      </c>
      <c r="B44" s="81">
        <v>355.73</v>
      </c>
      <c r="C44" s="81">
        <v>167.12</v>
      </c>
      <c r="D44" s="98">
        <v>1.2619999999999999E-2</v>
      </c>
      <c r="E44" s="90">
        <v>11.382</v>
      </c>
      <c r="F44"/>
      <c r="J44">
        <v>39</v>
      </c>
      <c r="K44" s="104"/>
      <c r="L44" s="100"/>
      <c r="M44" s="100"/>
      <c r="N44" s="100"/>
      <c r="O44" s="105"/>
    </row>
    <row r="45" spans="1:15" x14ac:dyDescent="0.2">
      <c r="A45">
        <v>60</v>
      </c>
      <c r="B45" s="79">
        <v>369.12</v>
      </c>
      <c r="C45" s="79">
        <v>177.39</v>
      </c>
      <c r="D45" s="96">
        <v>1.376E-2</v>
      </c>
      <c r="E45" s="88">
        <v>11.1456</v>
      </c>
      <c r="F45"/>
      <c r="J45">
        <v>40</v>
      </c>
      <c r="K45" s="104"/>
      <c r="L45" s="100"/>
      <c r="M45" s="100"/>
      <c r="N45" s="100"/>
      <c r="O45" s="105"/>
    </row>
    <row r="46" spans="1:15" x14ac:dyDescent="0.2">
      <c r="A46">
        <v>61</v>
      </c>
      <c r="B46" s="80">
        <v>382.77</v>
      </c>
      <c r="C46" s="80">
        <v>188.15</v>
      </c>
      <c r="D46" s="97">
        <v>1.5009999999999999E-2</v>
      </c>
      <c r="E46" s="89">
        <v>10.904400000000001</v>
      </c>
      <c r="F46"/>
      <c r="J46">
        <v>41</v>
      </c>
      <c r="K46" s="104"/>
      <c r="L46" s="100"/>
      <c r="M46" s="100"/>
      <c r="N46" s="100"/>
      <c r="O46" s="105"/>
    </row>
    <row r="47" spans="1:15" x14ac:dyDescent="0.2">
      <c r="A47">
        <v>62</v>
      </c>
      <c r="B47" s="81">
        <v>396.68</v>
      </c>
      <c r="C47" s="81">
        <v>199.38</v>
      </c>
      <c r="D47" s="98">
        <v>1.6379999999999999E-2</v>
      </c>
      <c r="E47" s="90">
        <v>10.6587</v>
      </c>
      <c r="F47"/>
      <c r="J47">
        <v>42</v>
      </c>
      <c r="K47" s="104"/>
      <c r="L47" s="100"/>
      <c r="M47" s="100"/>
      <c r="N47" s="100"/>
      <c r="O47" s="105"/>
    </row>
    <row r="48" spans="1:15" x14ac:dyDescent="0.2">
      <c r="A48">
        <v>63</v>
      </c>
      <c r="B48" s="81">
        <v>410.83</v>
      </c>
      <c r="C48" s="81">
        <v>211.1</v>
      </c>
      <c r="D48" s="98">
        <v>1.788E-2</v>
      </c>
      <c r="E48" s="90">
        <v>10.4087</v>
      </c>
      <c r="F48"/>
      <c r="J48">
        <v>43</v>
      </c>
      <c r="K48" s="104"/>
      <c r="L48" s="100"/>
      <c r="M48" s="100"/>
      <c r="N48" s="100"/>
      <c r="O48" s="105"/>
    </row>
    <row r="49" spans="1:15" x14ac:dyDescent="0.2">
      <c r="A49">
        <v>64</v>
      </c>
      <c r="B49" s="81">
        <v>425.2</v>
      </c>
      <c r="C49" s="81">
        <v>223.31</v>
      </c>
      <c r="D49" s="98">
        <v>1.9519999999999999E-2</v>
      </c>
      <c r="E49" s="90">
        <v>10.1548</v>
      </c>
      <c r="F49"/>
      <c r="J49">
        <v>44</v>
      </c>
      <c r="K49" s="104"/>
      <c r="L49" s="100"/>
      <c r="M49" s="100"/>
      <c r="N49" s="100"/>
      <c r="O49" s="105"/>
    </row>
    <row r="50" spans="1:15" x14ac:dyDescent="0.2">
      <c r="A50">
        <v>65</v>
      </c>
      <c r="B50" s="79">
        <v>439.78</v>
      </c>
      <c r="C50" s="79">
        <v>235.99</v>
      </c>
      <c r="D50" s="96">
        <v>2.1319999999999999E-2</v>
      </c>
      <c r="E50" s="88">
        <v>9.8972999999999995</v>
      </c>
      <c r="F50"/>
      <c r="J50">
        <v>45</v>
      </c>
      <c r="K50" s="104"/>
      <c r="L50" s="100"/>
      <c r="M50" s="100"/>
      <c r="N50" s="100"/>
      <c r="O50" s="105"/>
    </row>
    <row r="51" spans="1:15" x14ac:dyDescent="0.2">
      <c r="A51">
        <v>66</v>
      </c>
      <c r="B51" s="80">
        <v>454.75</v>
      </c>
      <c r="C51" s="80">
        <v>249.46</v>
      </c>
      <c r="D51" s="97">
        <v>2.3290000000000002E-2</v>
      </c>
      <c r="E51" s="89">
        <v>9.6326999999999998</v>
      </c>
      <c r="F51"/>
      <c r="J51">
        <v>46</v>
      </c>
      <c r="K51" s="104"/>
      <c r="L51" s="100"/>
      <c r="M51" s="100"/>
      <c r="N51" s="100"/>
      <c r="O51" s="105"/>
    </row>
    <row r="52" spans="1:15" x14ac:dyDescent="0.2">
      <c r="A52">
        <v>67</v>
      </c>
      <c r="B52" s="81">
        <v>469.47</v>
      </c>
      <c r="C52" s="81">
        <v>262.83</v>
      </c>
      <c r="D52" s="98">
        <v>2.5440000000000001E-2</v>
      </c>
      <c r="E52" s="90">
        <v>9.3726000000000003</v>
      </c>
      <c r="F52"/>
      <c r="J52">
        <v>47</v>
      </c>
      <c r="K52" s="104"/>
      <c r="L52" s="100"/>
      <c r="M52" s="100"/>
      <c r="N52" s="100"/>
      <c r="O52" s="105"/>
    </row>
    <row r="53" spans="1:15" x14ac:dyDescent="0.2">
      <c r="A53">
        <v>68</v>
      </c>
      <c r="B53" s="81">
        <v>484.53</v>
      </c>
      <c r="C53" s="81">
        <v>276.92</v>
      </c>
      <c r="D53" s="98">
        <v>2.7789999999999999E-2</v>
      </c>
      <c r="E53" s="90">
        <v>9.1066000000000003</v>
      </c>
      <c r="F53"/>
      <c r="J53">
        <v>48</v>
      </c>
      <c r="K53" s="104"/>
      <c r="L53" s="100"/>
      <c r="M53" s="100"/>
      <c r="N53" s="100"/>
      <c r="O53" s="105"/>
    </row>
    <row r="54" spans="1:15" x14ac:dyDescent="0.2">
      <c r="A54">
        <v>69</v>
      </c>
      <c r="B54" s="81">
        <v>499.7</v>
      </c>
      <c r="C54" s="81">
        <v>291.45999999999998</v>
      </c>
      <c r="D54" s="98">
        <v>3.0370000000000001E-2</v>
      </c>
      <c r="E54" s="90">
        <v>8.8386999999999993</v>
      </c>
      <c r="F54"/>
      <c r="J54">
        <v>49</v>
      </c>
      <c r="K54" s="104"/>
      <c r="L54" s="100"/>
      <c r="M54" s="100"/>
      <c r="N54" s="100"/>
      <c r="O54" s="105"/>
    </row>
    <row r="55" spans="1:15" x14ac:dyDescent="0.2">
      <c r="A55">
        <v>70</v>
      </c>
      <c r="B55" s="79">
        <v>514.95000000000005</v>
      </c>
      <c r="C55" s="79">
        <v>306.42</v>
      </c>
      <c r="D55" s="96">
        <v>3.3180000000000001E-2</v>
      </c>
      <c r="E55" s="88">
        <v>8.5693000000000001</v>
      </c>
      <c r="F55"/>
      <c r="J55">
        <v>50</v>
      </c>
      <c r="K55" s="104"/>
      <c r="L55" s="100"/>
      <c r="M55" s="100"/>
      <c r="N55" s="100"/>
      <c r="O55" s="105"/>
    </row>
    <row r="56" spans="1:15" x14ac:dyDescent="0.2">
      <c r="A56">
        <v>71</v>
      </c>
      <c r="B56" s="80">
        <v>530.26</v>
      </c>
      <c r="C56" s="80">
        <v>321.77999999999997</v>
      </c>
      <c r="D56" s="97">
        <v>3.6260000000000001E-2</v>
      </c>
      <c r="E56" s="89">
        <v>8.2988</v>
      </c>
      <c r="F56"/>
      <c r="J56">
        <v>51</v>
      </c>
      <c r="K56" s="104"/>
      <c r="L56" s="100"/>
      <c r="M56" s="100"/>
      <c r="N56" s="100"/>
      <c r="O56" s="105"/>
    </row>
    <row r="57" spans="1:15" x14ac:dyDescent="0.2">
      <c r="A57">
        <v>72</v>
      </c>
      <c r="B57" s="81">
        <v>545.6</v>
      </c>
      <c r="C57" s="81">
        <v>337.54</v>
      </c>
      <c r="D57" s="98">
        <v>3.9619999999999995E-2</v>
      </c>
      <c r="E57" s="90">
        <v>8.0277999999999992</v>
      </c>
      <c r="F57"/>
      <c r="J57">
        <v>52</v>
      </c>
      <c r="K57" s="104"/>
      <c r="L57" s="100"/>
      <c r="M57" s="100"/>
      <c r="N57" s="100"/>
      <c r="O57" s="105"/>
    </row>
    <row r="58" spans="1:15" x14ac:dyDescent="0.2">
      <c r="A58">
        <v>73</v>
      </c>
      <c r="B58" s="81">
        <v>560.92999999999995</v>
      </c>
      <c r="C58" s="81">
        <v>353.64</v>
      </c>
      <c r="D58" s="98">
        <v>4.3299999999999998E-2</v>
      </c>
      <c r="E58" s="90">
        <v>7.7568000000000001</v>
      </c>
      <c r="F58"/>
      <c r="J58">
        <v>53</v>
      </c>
      <c r="K58" s="104"/>
      <c r="L58" s="100"/>
      <c r="M58" s="100"/>
      <c r="N58" s="100"/>
      <c r="O58" s="105"/>
    </row>
    <row r="59" spans="1:15" x14ac:dyDescent="0.2">
      <c r="A59">
        <v>74</v>
      </c>
      <c r="B59" s="81">
        <v>576.24</v>
      </c>
      <c r="C59" s="81">
        <v>370.08</v>
      </c>
      <c r="D59" s="98">
        <v>4.7310000000000005E-2</v>
      </c>
      <c r="E59" s="90">
        <v>7.4863999999999997</v>
      </c>
      <c r="F59"/>
      <c r="J59">
        <v>54</v>
      </c>
      <c r="K59" s="104"/>
      <c r="L59" s="100"/>
      <c r="M59" s="100"/>
      <c r="N59" s="100"/>
      <c r="O59" s="105"/>
    </row>
    <row r="60" spans="1:15" x14ac:dyDescent="0.2">
      <c r="A60">
        <v>75</v>
      </c>
      <c r="B60" s="79">
        <v>591.49</v>
      </c>
      <c r="C60" s="79">
        <v>386.81</v>
      </c>
      <c r="D60" s="96">
        <v>5.169E-2</v>
      </c>
      <c r="E60" s="88">
        <v>7.2169999999999996</v>
      </c>
      <c r="F60"/>
      <c r="J60">
        <v>55</v>
      </c>
      <c r="K60" s="104"/>
      <c r="L60" s="100"/>
      <c r="M60" s="100"/>
      <c r="N60" s="100"/>
      <c r="O60" s="105"/>
    </row>
    <row r="61" spans="1:15" x14ac:dyDescent="0.2">
      <c r="A61">
        <v>76</v>
      </c>
      <c r="B61" s="80">
        <v>606.65</v>
      </c>
      <c r="C61" s="80">
        <v>403.8</v>
      </c>
      <c r="D61" s="97">
        <v>5.6469999999999999E-2</v>
      </c>
      <c r="E61" s="89">
        <v>6.9493</v>
      </c>
      <c r="F61"/>
      <c r="J61">
        <v>56</v>
      </c>
      <c r="K61" s="104"/>
      <c r="L61" s="100"/>
      <c r="M61" s="100"/>
      <c r="N61" s="100"/>
      <c r="O61" s="105"/>
    </row>
    <row r="62" spans="1:15" x14ac:dyDescent="0.2">
      <c r="A62">
        <v>77</v>
      </c>
      <c r="B62" s="81">
        <v>621.67999999999995</v>
      </c>
      <c r="C62" s="81">
        <v>421.02</v>
      </c>
      <c r="D62" s="98">
        <v>6.1679999999999999E-2</v>
      </c>
      <c r="E62" s="90">
        <v>6.6836000000000002</v>
      </c>
      <c r="F62"/>
      <c r="J62">
        <v>57</v>
      </c>
      <c r="K62" s="104"/>
      <c r="L62" s="100"/>
      <c r="M62" s="100"/>
      <c r="N62" s="100"/>
      <c r="O62" s="105"/>
    </row>
    <row r="63" spans="1:15" x14ac:dyDescent="0.2">
      <c r="A63">
        <v>78</v>
      </c>
      <c r="B63" s="81">
        <v>636.55999999999995</v>
      </c>
      <c r="C63" s="81">
        <v>438.42</v>
      </c>
      <c r="D63" s="98">
        <v>6.7369999999999999E-2</v>
      </c>
      <c r="E63" s="90">
        <v>6.4207000000000001</v>
      </c>
      <c r="F63"/>
      <c r="J63">
        <v>58</v>
      </c>
      <c r="K63" s="104"/>
      <c r="L63" s="100"/>
      <c r="M63" s="100"/>
      <c r="N63" s="100"/>
      <c r="O63" s="105"/>
    </row>
    <row r="64" spans="1:15" x14ac:dyDescent="0.2">
      <c r="A64">
        <v>79</v>
      </c>
      <c r="B64" s="81">
        <v>651.26</v>
      </c>
      <c r="C64" s="81">
        <v>455.95</v>
      </c>
      <c r="D64" s="98">
        <v>7.356E-2</v>
      </c>
      <c r="E64" s="90">
        <v>6.1609999999999996</v>
      </c>
      <c r="F64"/>
      <c r="J64">
        <v>59</v>
      </c>
      <c r="K64" s="104"/>
      <c r="L64" s="100"/>
      <c r="M64" s="100"/>
      <c r="N64" s="100"/>
      <c r="O64" s="105"/>
    </row>
    <row r="65" spans="1:15" x14ac:dyDescent="0.2">
      <c r="A65">
        <v>80</v>
      </c>
      <c r="B65" s="79">
        <v>665.75</v>
      </c>
      <c r="C65" s="79">
        <v>473.59</v>
      </c>
      <c r="D65" s="96">
        <v>8.0299999999999996E-2</v>
      </c>
      <c r="E65" s="88">
        <v>5.9050000000000002</v>
      </c>
      <c r="F65"/>
      <c r="J65">
        <v>60</v>
      </c>
      <c r="K65" s="104"/>
      <c r="L65" s="100"/>
      <c r="M65" s="100"/>
      <c r="N65" s="100"/>
      <c r="O65" s="105"/>
    </row>
    <row r="66" spans="1:15" x14ac:dyDescent="0.2">
      <c r="A66">
        <v>81</v>
      </c>
      <c r="B66" s="80">
        <v>680</v>
      </c>
      <c r="C66" s="80">
        <v>491.27</v>
      </c>
      <c r="D66" s="97">
        <v>8.7639999999999996E-2</v>
      </c>
      <c r="E66" s="89">
        <v>5.6532999999999998</v>
      </c>
      <c r="F66"/>
      <c r="J66">
        <v>61</v>
      </c>
      <c r="K66" s="104"/>
      <c r="L66" s="100"/>
      <c r="M66" s="100"/>
      <c r="N66" s="100"/>
      <c r="O66" s="105"/>
    </row>
    <row r="67" spans="1:15" x14ac:dyDescent="0.2">
      <c r="A67">
        <v>82</v>
      </c>
      <c r="B67" s="81">
        <v>693.98</v>
      </c>
      <c r="C67" s="81">
        <v>508.96</v>
      </c>
      <c r="D67" s="98">
        <v>9.5610000000000001E-2</v>
      </c>
      <c r="E67" s="90">
        <v>5.4062999999999999</v>
      </c>
      <c r="F67"/>
      <c r="J67">
        <v>62</v>
      </c>
      <c r="K67" s="104"/>
      <c r="L67" s="100"/>
      <c r="M67" s="100"/>
      <c r="N67" s="100"/>
      <c r="O67" s="105"/>
    </row>
    <row r="68" spans="1:15" x14ac:dyDescent="0.2">
      <c r="A68">
        <v>83</v>
      </c>
      <c r="B68" s="81">
        <v>707.67</v>
      </c>
      <c r="C68" s="81">
        <v>526.6</v>
      </c>
      <c r="D68" s="98">
        <v>0.10428</v>
      </c>
      <c r="E68" s="90">
        <v>5.1645000000000003</v>
      </c>
      <c r="F68"/>
      <c r="J68">
        <v>63</v>
      </c>
      <c r="K68" s="104"/>
      <c r="L68" s="100"/>
      <c r="M68" s="100"/>
      <c r="N68" s="100"/>
      <c r="O68" s="105"/>
    </row>
    <row r="69" spans="1:15" x14ac:dyDescent="0.2">
      <c r="A69">
        <v>84</v>
      </c>
      <c r="B69" s="81">
        <v>721.04</v>
      </c>
      <c r="C69" s="81">
        <v>544.15</v>
      </c>
      <c r="D69" s="98">
        <v>0.11369</v>
      </c>
      <c r="E69" s="90">
        <v>4.9282000000000004</v>
      </c>
      <c r="F69"/>
      <c r="J69">
        <v>64</v>
      </c>
      <c r="K69" s="104"/>
      <c r="L69" s="100"/>
      <c r="M69" s="100"/>
      <c r="N69" s="100"/>
      <c r="O69" s="105"/>
    </row>
    <row r="70" spans="1:15" x14ac:dyDescent="0.2">
      <c r="A70">
        <v>85</v>
      </c>
      <c r="B70" s="79">
        <v>734.07</v>
      </c>
      <c r="C70" s="79">
        <v>561.57000000000005</v>
      </c>
      <c r="D70" s="96">
        <v>0.12389</v>
      </c>
      <c r="E70" s="88">
        <v>4.6980000000000004</v>
      </c>
      <c r="F70"/>
      <c r="J70">
        <v>65</v>
      </c>
      <c r="K70" s="104"/>
      <c r="L70" s="100"/>
      <c r="M70" s="100"/>
      <c r="N70" s="100"/>
      <c r="O70" s="105"/>
    </row>
    <row r="71" spans="1:15" x14ac:dyDescent="0.2">
      <c r="A71">
        <v>86</v>
      </c>
      <c r="B71" s="80">
        <v>746.74</v>
      </c>
      <c r="C71" s="80">
        <v>578.79999999999995</v>
      </c>
      <c r="D71" s="97">
        <v>0.13494</v>
      </c>
      <c r="E71" s="89">
        <v>4.4741999999999997</v>
      </c>
      <c r="F71"/>
      <c r="J71">
        <v>66</v>
      </c>
      <c r="K71" s="104"/>
      <c r="L71" s="100"/>
      <c r="M71" s="100"/>
      <c r="N71" s="100"/>
      <c r="O71" s="105"/>
    </row>
    <row r="72" spans="1:15" x14ac:dyDescent="0.2">
      <c r="A72">
        <v>87</v>
      </c>
      <c r="B72" s="81">
        <v>759.03</v>
      </c>
      <c r="C72" s="81">
        <v>595.79</v>
      </c>
      <c r="D72" s="98">
        <v>0.14688999999999999</v>
      </c>
      <c r="E72" s="90">
        <v>4.2571000000000003</v>
      </c>
      <c r="F72"/>
      <c r="J72">
        <v>67</v>
      </c>
      <c r="K72" s="104"/>
      <c r="L72" s="100"/>
      <c r="M72" s="100"/>
      <c r="N72" s="100"/>
      <c r="O72" s="105"/>
    </row>
    <row r="73" spans="1:15" x14ac:dyDescent="0.2">
      <c r="A73">
        <v>88</v>
      </c>
      <c r="B73" s="81">
        <v>770.92</v>
      </c>
      <c r="C73" s="81">
        <v>612.51</v>
      </c>
      <c r="D73" s="98">
        <v>0.15981000000000001</v>
      </c>
      <c r="E73" s="90">
        <v>4.0469999999999997</v>
      </c>
      <c r="F73"/>
      <c r="J73">
        <v>68</v>
      </c>
      <c r="K73" s="104"/>
      <c r="L73" s="100"/>
      <c r="M73" s="100"/>
      <c r="N73" s="100"/>
      <c r="O73" s="105"/>
    </row>
    <row r="74" spans="1:15" x14ac:dyDescent="0.2">
      <c r="A74">
        <v>89</v>
      </c>
      <c r="B74" s="81">
        <v>782.41</v>
      </c>
      <c r="C74" s="81">
        <v>628.91999999999996</v>
      </c>
      <c r="D74" s="98">
        <v>0.17374999999999999</v>
      </c>
      <c r="E74" s="90">
        <v>3.8441999999999998</v>
      </c>
      <c r="F74"/>
      <c r="J74">
        <v>69</v>
      </c>
      <c r="K74" s="104"/>
      <c r="L74" s="100"/>
      <c r="M74" s="100"/>
      <c r="N74" s="100"/>
      <c r="O74" s="105"/>
    </row>
    <row r="75" spans="1:15" x14ac:dyDescent="0.2">
      <c r="A75">
        <v>90</v>
      </c>
      <c r="B75" s="79">
        <v>793.46</v>
      </c>
      <c r="C75" s="79">
        <v>644.96</v>
      </c>
      <c r="D75" s="96">
        <v>0.18877000000000002</v>
      </c>
      <c r="E75" s="88">
        <v>3.6488</v>
      </c>
      <c r="F75"/>
      <c r="J75">
        <v>70</v>
      </c>
      <c r="K75" s="104"/>
      <c r="L75" s="100"/>
      <c r="M75" s="100"/>
      <c r="N75" s="100"/>
      <c r="O75" s="105"/>
    </row>
    <row r="76" spans="1:15" x14ac:dyDescent="0.2">
      <c r="A76">
        <v>91</v>
      </c>
      <c r="B76" s="80">
        <v>804.09</v>
      </c>
      <c r="C76" s="80">
        <v>660.61</v>
      </c>
      <c r="D76" s="97">
        <v>0.20493</v>
      </c>
      <c r="E76" s="89">
        <v>3.4611000000000001</v>
      </c>
      <c r="F76"/>
      <c r="J76">
        <v>71</v>
      </c>
      <c r="K76" s="104"/>
      <c r="L76" s="100"/>
      <c r="M76" s="100"/>
      <c r="N76" s="100"/>
      <c r="O76" s="105"/>
    </row>
    <row r="77" spans="1:15" x14ac:dyDescent="0.2">
      <c r="A77">
        <v>92</v>
      </c>
      <c r="B77" s="81">
        <v>814.27</v>
      </c>
      <c r="C77" s="81">
        <v>675.83</v>
      </c>
      <c r="D77" s="98">
        <v>0.22227000000000002</v>
      </c>
      <c r="E77" s="90">
        <v>3.2812000000000001</v>
      </c>
      <c r="F77"/>
      <c r="J77">
        <v>72</v>
      </c>
      <c r="K77" s="104"/>
      <c r="L77" s="100"/>
      <c r="M77" s="100"/>
      <c r="N77" s="100"/>
      <c r="O77" s="105"/>
    </row>
    <row r="78" spans="1:15" x14ac:dyDescent="0.2">
      <c r="A78">
        <v>93</v>
      </c>
      <c r="B78" s="81">
        <v>824.01</v>
      </c>
      <c r="C78" s="81">
        <v>690.59</v>
      </c>
      <c r="D78" s="98">
        <v>0.24086000000000002</v>
      </c>
      <c r="E78" s="90">
        <v>3.1091000000000002</v>
      </c>
      <c r="F78"/>
      <c r="J78">
        <v>73</v>
      </c>
      <c r="K78" s="104"/>
      <c r="L78" s="100"/>
      <c r="M78" s="100"/>
      <c r="N78" s="100"/>
      <c r="O78" s="105"/>
    </row>
    <row r="79" spans="1:15" x14ac:dyDescent="0.2">
      <c r="A79">
        <v>94</v>
      </c>
      <c r="B79" s="81">
        <v>833.3</v>
      </c>
      <c r="C79" s="81">
        <v>704.86</v>
      </c>
      <c r="D79" s="98">
        <v>0.26073000000000002</v>
      </c>
      <c r="E79" s="90">
        <v>2.9449999999999998</v>
      </c>
      <c r="F79"/>
      <c r="J79">
        <v>74</v>
      </c>
      <c r="K79" s="104"/>
      <c r="L79" s="100"/>
      <c r="M79" s="100"/>
      <c r="N79" s="100"/>
      <c r="O79" s="105"/>
    </row>
    <row r="80" spans="1:15" x14ac:dyDescent="0.2">
      <c r="A80">
        <v>95</v>
      </c>
      <c r="B80" s="79">
        <v>842.14</v>
      </c>
      <c r="C80" s="79">
        <v>718.61</v>
      </c>
      <c r="D80" s="96">
        <v>0.28191000000000005</v>
      </c>
      <c r="E80" s="88">
        <v>2.7888000000000002</v>
      </c>
      <c r="F80"/>
      <c r="J80">
        <v>75</v>
      </c>
      <c r="K80" s="104"/>
      <c r="L80" s="100"/>
      <c r="M80" s="100"/>
      <c r="N80" s="100"/>
      <c r="O80" s="105"/>
    </row>
    <row r="81" spans="1:15" x14ac:dyDescent="0.2">
      <c r="A81">
        <v>96</v>
      </c>
      <c r="B81" s="80">
        <v>850.53</v>
      </c>
      <c r="C81" s="80">
        <v>731.83</v>
      </c>
      <c r="D81" s="97">
        <v>0.30445</v>
      </c>
      <c r="E81" s="89">
        <v>2.6406000000000001</v>
      </c>
      <c r="F81"/>
      <c r="J81">
        <v>76</v>
      </c>
      <c r="K81" s="104"/>
      <c r="L81" s="100"/>
      <c r="M81" s="100"/>
      <c r="N81" s="100"/>
      <c r="O81" s="105"/>
    </row>
    <row r="82" spans="1:15" x14ac:dyDescent="0.2">
      <c r="A82">
        <v>97</v>
      </c>
      <c r="B82" s="81">
        <v>858.48</v>
      </c>
      <c r="C82" s="81">
        <v>744.5</v>
      </c>
      <c r="D82" s="98">
        <v>0.32833999999999997</v>
      </c>
      <c r="E82" s="90">
        <v>2.5002</v>
      </c>
      <c r="F82"/>
      <c r="J82">
        <v>77</v>
      </c>
      <c r="K82" s="104"/>
      <c r="L82" s="100"/>
      <c r="M82" s="100"/>
      <c r="N82" s="100"/>
      <c r="O82" s="105"/>
    </row>
    <row r="83" spans="1:15" x14ac:dyDescent="0.2">
      <c r="A83">
        <v>98</v>
      </c>
      <c r="B83" s="81">
        <v>865.99</v>
      </c>
      <c r="C83" s="81">
        <v>756.61</v>
      </c>
      <c r="D83" s="98">
        <v>0.35360000000000003</v>
      </c>
      <c r="E83" s="90">
        <v>2.3675999999999999</v>
      </c>
      <c r="F83"/>
      <c r="J83">
        <v>78</v>
      </c>
      <c r="K83" s="104"/>
      <c r="L83" s="100"/>
      <c r="M83" s="100"/>
      <c r="N83" s="100"/>
      <c r="O83" s="105"/>
    </row>
    <row r="84" spans="1:15" x14ac:dyDescent="0.2">
      <c r="A84">
        <v>99</v>
      </c>
      <c r="B84" s="81">
        <v>873.06</v>
      </c>
      <c r="C84" s="81">
        <v>768.13</v>
      </c>
      <c r="D84" s="98">
        <v>0.38019999999999998</v>
      </c>
      <c r="E84" s="90">
        <v>2.2425999999999999</v>
      </c>
      <c r="F84"/>
      <c r="J84">
        <v>79</v>
      </c>
      <c r="K84" s="104"/>
      <c r="L84" s="100"/>
      <c r="M84" s="100"/>
      <c r="N84" s="100"/>
      <c r="O84" s="105"/>
    </row>
    <row r="85" spans="1:15" x14ac:dyDescent="0.2">
      <c r="A85">
        <v>100</v>
      </c>
      <c r="B85" s="79">
        <v>879.7</v>
      </c>
      <c r="C85" s="79">
        <v>779.08</v>
      </c>
      <c r="D85" s="96">
        <v>0.40811999999999998</v>
      </c>
      <c r="E85" s="88">
        <v>2.1252</v>
      </c>
      <c r="F85"/>
      <c r="J85">
        <v>80</v>
      </c>
      <c r="K85" s="104"/>
      <c r="L85" s="100"/>
      <c r="M85" s="100"/>
      <c r="N85" s="100"/>
      <c r="O85" s="105"/>
    </row>
    <row r="86" spans="1:15" x14ac:dyDescent="0.2">
      <c r="A86">
        <v>101</v>
      </c>
      <c r="B86" s="80">
        <v>885.93</v>
      </c>
      <c r="C86" s="80">
        <v>789.44</v>
      </c>
      <c r="D86" s="97">
        <v>0.43727999999999995</v>
      </c>
      <c r="E86" s="89">
        <v>2.0152000000000001</v>
      </c>
      <c r="F86"/>
      <c r="J86">
        <v>81</v>
      </c>
      <c r="K86" s="104"/>
      <c r="L86" s="100"/>
      <c r="M86" s="100"/>
      <c r="N86" s="100"/>
      <c r="O86" s="105"/>
    </row>
    <row r="87" spans="1:15" x14ac:dyDescent="0.2">
      <c r="A87">
        <v>102</v>
      </c>
      <c r="B87" s="81">
        <v>891.76</v>
      </c>
      <c r="C87" s="81">
        <v>799.21</v>
      </c>
      <c r="D87" s="98">
        <v>0.46761000000000003</v>
      </c>
      <c r="E87" s="90">
        <v>1.9123000000000001</v>
      </c>
      <c r="F87"/>
      <c r="J87">
        <v>82</v>
      </c>
      <c r="K87" s="104"/>
      <c r="L87" s="100"/>
      <c r="M87" s="100"/>
      <c r="N87" s="100"/>
      <c r="O87" s="105"/>
    </row>
    <row r="88" spans="1:15" x14ac:dyDescent="0.2">
      <c r="A88">
        <v>103</v>
      </c>
      <c r="B88" s="81">
        <v>897.19</v>
      </c>
      <c r="C88" s="81">
        <v>808.41</v>
      </c>
      <c r="D88" s="98">
        <v>0.49898999999999999</v>
      </c>
      <c r="E88" s="90">
        <v>1.8164</v>
      </c>
      <c r="F88"/>
      <c r="J88">
        <v>83</v>
      </c>
      <c r="K88" s="104"/>
      <c r="L88" s="100"/>
      <c r="M88" s="100"/>
      <c r="N88" s="100"/>
      <c r="O88" s="105"/>
    </row>
    <row r="89" spans="1:15" x14ac:dyDescent="0.2">
      <c r="A89">
        <v>104</v>
      </c>
      <c r="B89" s="81">
        <v>902.23</v>
      </c>
      <c r="C89" s="81">
        <v>817.02</v>
      </c>
      <c r="D89" s="98">
        <v>0.53127999999999997</v>
      </c>
      <c r="E89" s="90">
        <v>1.7273000000000001</v>
      </c>
      <c r="F89"/>
      <c r="J89">
        <v>84</v>
      </c>
      <c r="K89" s="104"/>
      <c r="L89" s="100"/>
      <c r="M89" s="100"/>
      <c r="N89" s="100"/>
      <c r="O89" s="105"/>
    </row>
    <row r="90" spans="1:15" x14ac:dyDescent="0.2">
      <c r="A90">
        <v>105</v>
      </c>
      <c r="B90" s="79">
        <v>906.9</v>
      </c>
      <c r="C90" s="79">
        <v>825.06</v>
      </c>
      <c r="D90" s="96">
        <v>0.56428999999999996</v>
      </c>
      <c r="E90" s="88">
        <v>1.6447000000000001</v>
      </c>
      <c r="F90"/>
      <c r="J90">
        <v>85</v>
      </c>
      <c r="K90" s="104"/>
      <c r="L90" s="100"/>
      <c r="M90" s="100"/>
      <c r="N90" s="100"/>
      <c r="O90" s="105"/>
    </row>
    <row r="91" spans="1:15" x14ac:dyDescent="0.2">
      <c r="A91">
        <v>106</v>
      </c>
      <c r="B91" s="80">
        <v>911.22</v>
      </c>
      <c r="C91" s="80">
        <v>832.53</v>
      </c>
      <c r="D91" s="97">
        <v>0.59783000000000008</v>
      </c>
      <c r="E91" s="89">
        <v>1.5685</v>
      </c>
      <c r="F91"/>
      <c r="J91">
        <v>86</v>
      </c>
      <c r="K91" s="104"/>
      <c r="L91" s="100"/>
      <c r="M91" s="100"/>
      <c r="N91" s="100"/>
      <c r="O91" s="105"/>
    </row>
    <row r="92" spans="1:15" x14ac:dyDescent="0.2">
      <c r="A92">
        <v>107</v>
      </c>
      <c r="B92" s="81">
        <v>915.19</v>
      </c>
      <c r="C92" s="81">
        <v>839.46</v>
      </c>
      <c r="D92" s="98">
        <v>0.63163999999999998</v>
      </c>
      <c r="E92" s="90">
        <v>1.4984</v>
      </c>
      <c r="F92"/>
      <c r="J92">
        <v>87</v>
      </c>
      <c r="K92" s="104"/>
      <c r="L92" s="100"/>
      <c r="M92" s="100"/>
      <c r="N92" s="100"/>
      <c r="O92" s="105"/>
    </row>
    <row r="93" spans="1:15" x14ac:dyDescent="0.2">
      <c r="A93">
        <v>108</v>
      </c>
      <c r="B93" s="81">
        <v>918.82</v>
      </c>
      <c r="C93" s="81">
        <v>845.84</v>
      </c>
      <c r="D93" s="98">
        <v>0.6654500000000001</v>
      </c>
      <c r="E93" s="90">
        <v>1.4340999999999999</v>
      </c>
      <c r="F93"/>
      <c r="J93">
        <v>88</v>
      </c>
      <c r="K93" s="104"/>
      <c r="L93" s="100"/>
      <c r="M93" s="100"/>
      <c r="N93" s="100"/>
      <c r="O93" s="105"/>
    </row>
    <row r="94" spans="1:15" x14ac:dyDescent="0.2">
      <c r="A94">
        <v>109</v>
      </c>
      <c r="B94" s="81">
        <v>922.14</v>
      </c>
      <c r="C94" s="81">
        <v>851.69</v>
      </c>
      <c r="D94" s="98">
        <v>0.69896999999999998</v>
      </c>
      <c r="E94" s="90">
        <v>1.3754999999999999</v>
      </c>
      <c r="F94"/>
      <c r="J94">
        <v>89</v>
      </c>
      <c r="K94" s="104"/>
      <c r="L94" s="100"/>
      <c r="M94" s="100"/>
      <c r="N94" s="100"/>
      <c r="O94" s="105"/>
    </row>
    <row r="95" spans="1:15" x14ac:dyDescent="0.2">
      <c r="A95">
        <v>110</v>
      </c>
      <c r="B95" s="82">
        <v>925.15</v>
      </c>
      <c r="C95" s="82">
        <v>857.04</v>
      </c>
      <c r="D95" s="99">
        <v>0.73187000000000002</v>
      </c>
      <c r="E95" s="91">
        <v>1.3223</v>
      </c>
      <c r="F95"/>
      <c r="J95">
        <v>90</v>
      </c>
      <c r="K95" s="106"/>
      <c r="L95" s="107"/>
      <c r="M95" s="107"/>
      <c r="N95" s="107"/>
      <c r="O95" s="108"/>
    </row>
    <row r="96" spans="1:15" x14ac:dyDescent="0.2">
      <c r="E96" s="84"/>
      <c r="F96" s="92"/>
      <c r="K96" s="95"/>
    </row>
  </sheetData>
  <pageMargins left="0.75" right="0.75" top="1" bottom="1" header="0.5" footer="0.5"/>
  <pageSetup orientation="portrait" horizontalDpi="4294967292" verticalDpi="429496729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C34"/>
  <sheetViews>
    <sheetView workbookViewId="0">
      <selection activeCell="F7" sqref="F7"/>
    </sheetView>
  </sheetViews>
  <sheetFormatPr baseColWidth="10" defaultRowHeight="16" x14ac:dyDescent="0.2"/>
  <cols>
    <col min="3" max="3" width="14" customWidth="1"/>
  </cols>
  <sheetData>
    <row r="1" spans="1:3" x14ac:dyDescent="0.2">
      <c r="A1" s="117" t="s">
        <v>191</v>
      </c>
      <c r="B1" s="117"/>
      <c r="C1" s="117"/>
    </row>
    <row r="2" spans="1:3" x14ac:dyDescent="0.2">
      <c r="C2" t="s">
        <v>46</v>
      </c>
    </row>
    <row r="3" spans="1:3" x14ac:dyDescent="0.2">
      <c r="A3">
        <v>11</v>
      </c>
      <c r="B3" s="47">
        <v>11.1</v>
      </c>
    </row>
    <row r="4" spans="1:3" x14ac:dyDescent="0.2">
      <c r="B4" s="48" t="s">
        <v>147</v>
      </c>
      <c r="C4">
        <v>3</v>
      </c>
    </row>
    <row r="5" spans="1:3" x14ac:dyDescent="0.2">
      <c r="B5" s="48" t="s">
        <v>151</v>
      </c>
      <c r="C5">
        <v>2</v>
      </c>
    </row>
    <row r="6" spans="1:3" x14ac:dyDescent="0.2">
      <c r="B6" s="48" t="s">
        <v>152</v>
      </c>
      <c r="C6">
        <v>2</v>
      </c>
    </row>
    <row r="7" spans="1:3" x14ac:dyDescent="0.2">
      <c r="B7" s="48" t="s">
        <v>155</v>
      </c>
      <c r="C7">
        <v>2</v>
      </c>
    </row>
    <row r="8" spans="1:3" x14ac:dyDescent="0.2">
      <c r="B8" s="48" t="s">
        <v>153</v>
      </c>
      <c r="C8">
        <v>2</v>
      </c>
    </row>
    <row r="9" spans="1:3" x14ac:dyDescent="0.2">
      <c r="B9" s="48" t="s">
        <v>154</v>
      </c>
      <c r="C9">
        <v>2</v>
      </c>
    </row>
    <row r="10" spans="1:3" x14ac:dyDescent="0.2">
      <c r="B10" s="48" t="s">
        <v>163</v>
      </c>
      <c r="C10">
        <v>2</v>
      </c>
    </row>
    <row r="11" spans="1:3" x14ac:dyDescent="0.2">
      <c r="B11" s="48" t="s">
        <v>173</v>
      </c>
      <c r="C11">
        <v>2</v>
      </c>
    </row>
    <row r="12" spans="1:3" x14ac:dyDescent="0.2">
      <c r="B12" s="47">
        <v>11.2</v>
      </c>
      <c r="C12">
        <v>3</v>
      </c>
    </row>
    <row r="13" spans="1:3" x14ac:dyDescent="0.2">
      <c r="A13" s="116" t="s">
        <v>189</v>
      </c>
      <c r="B13" s="116"/>
      <c r="C13" s="116">
        <f>SUM(C4:C12)</f>
        <v>20</v>
      </c>
    </row>
    <row r="14" spans="1:3" x14ac:dyDescent="0.2">
      <c r="A14" s="49"/>
      <c r="B14" s="49"/>
      <c r="C14" s="49"/>
    </row>
    <row r="15" spans="1:3" x14ac:dyDescent="0.2">
      <c r="A15">
        <v>12</v>
      </c>
      <c r="B15" s="47">
        <v>12.1</v>
      </c>
    </row>
    <row r="16" spans="1:3" x14ac:dyDescent="0.2">
      <c r="B16" s="48" t="s">
        <v>170</v>
      </c>
      <c r="C16">
        <v>3</v>
      </c>
    </row>
    <row r="17" spans="1:3" x14ac:dyDescent="0.2">
      <c r="B17" s="48" t="s">
        <v>171</v>
      </c>
      <c r="C17">
        <v>3</v>
      </c>
    </row>
    <row r="18" spans="1:3" x14ac:dyDescent="0.2">
      <c r="B18" s="48" t="s">
        <v>175</v>
      </c>
      <c r="C18">
        <v>3</v>
      </c>
    </row>
    <row r="19" spans="1:3" x14ac:dyDescent="0.2">
      <c r="B19" s="47">
        <v>12.2</v>
      </c>
      <c r="C19">
        <v>6</v>
      </c>
    </row>
    <row r="20" spans="1:3" x14ac:dyDescent="0.2">
      <c r="A20" s="116" t="s">
        <v>190</v>
      </c>
      <c r="B20" s="116"/>
      <c r="C20" s="116">
        <f>SUM(C16:C19)</f>
        <v>15</v>
      </c>
    </row>
    <row r="21" spans="1:3" x14ac:dyDescent="0.2">
      <c r="A21" s="49"/>
      <c r="B21" s="49"/>
      <c r="C21" s="49"/>
    </row>
    <row r="22" spans="1:3" x14ac:dyDescent="0.2">
      <c r="A22" s="115">
        <v>13</v>
      </c>
      <c r="B22" s="47">
        <v>13.1</v>
      </c>
      <c r="C22" s="115">
        <v>3</v>
      </c>
    </row>
    <row r="23" spans="1:3" x14ac:dyDescent="0.2">
      <c r="A23" s="49"/>
      <c r="B23" s="47">
        <v>13.2</v>
      </c>
      <c r="C23" s="115">
        <v>2</v>
      </c>
    </row>
    <row r="24" spans="1:3" x14ac:dyDescent="0.2">
      <c r="A24" s="49"/>
      <c r="B24" s="47">
        <v>13.3</v>
      </c>
      <c r="C24" s="115">
        <v>3</v>
      </c>
    </row>
    <row r="25" spans="1:3" x14ac:dyDescent="0.2">
      <c r="A25" s="49"/>
      <c r="B25" s="47">
        <v>13.4</v>
      </c>
      <c r="C25" s="115"/>
    </row>
    <row r="26" spans="1:3" x14ac:dyDescent="0.2">
      <c r="A26" s="49"/>
      <c r="B26" s="48" t="s">
        <v>180</v>
      </c>
      <c r="C26" s="115">
        <v>2</v>
      </c>
    </row>
    <row r="27" spans="1:3" x14ac:dyDescent="0.2">
      <c r="A27" s="49"/>
      <c r="B27" s="48" t="s">
        <v>185</v>
      </c>
      <c r="C27" s="115">
        <v>2</v>
      </c>
    </row>
    <row r="28" spans="1:3" x14ac:dyDescent="0.2">
      <c r="A28" s="49"/>
      <c r="B28" s="47">
        <v>13.5</v>
      </c>
      <c r="C28" s="115"/>
    </row>
    <row r="29" spans="1:3" x14ac:dyDescent="0.2">
      <c r="A29" s="49"/>
      <c r="B29" s="48" t="s">
        <v>186</v>
      </c>
      <c r="C29" s="115">
        <v>3</v>
      </c>
    </row>
    <row r="30" spans="1:3" x14ac:dyDescent="0.2">
      <c r="A30" s="49"/>
      <c r="B30" s="48" t="s">
        <v>187</v>
      </c>
      <c r="C30" s="115">
        <v>2</v>
      </c>
    </row>
    <row r="31" spans="1:3" x14ac:dyDescent="0.2">
      <c r="A31" s="49"/>
      <c r="B31" s="47">
        <v>13.6</v>
      </c>
      <c r="C31" s="115">
        <v>3</v>
      </c>
    </row>
    <row r="32" spans="1:3" x14ac:dyDescent="0.2">
      <c r="A32" s="116" t="s">
        <v>192</v>
      </c>
      <c r="B32" s="116"/>
      <c r="C32" s="116">
        <f>SUM(C22:C31)</f>
        <v>20</v>
      </c>
    </row>
    <row r="34" spans="1:3" x14ac:dyDescent="0.2">
      <c r="A34" s="2" t="s">
        <v>62</v>
      </c>
      <c r="B34" s="2"/>
      <c r="C34" s="2">
        <f>C13+C20+C32</f>
        <v>55</v>
      </c>
    </row>
  </sheetData>
  <mergeCells count="1">
    <mergeCell ref="A1:C1"/>
  </mergeCells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Part 1 - Qx</vt:lpstr>
      <vt:lpstr>Part 2 - ex</vt:lpstr>
      <vt:lpstr>Part 3 - lx</vt:lpstr>
      <vt:lpstr>Part 4 - Fractional Ages</vt:lpstr>
      <vt:lpstr>Submission 1 Grading Points</vt:lpstr>
      <vt:lpstr>Part 5 - Whole Life Insurance</vt:lpstr>
      <vt:lpstr>Part 6 - Term Life</vt:lpstr>
      <vt:lpstr>Part 7 - Pure Endowment</vt:lpstr>
      <vt:lpstr>Part 8 - Endowment</vt:lpstr>
      <vt:lpstr>Submission 2 Grading Points</vt:lpstr>
      <vt:lpstr>Part 9 - Whole Life Annuity</vt:lpstr>
      <vt:lpstr>Part 10 - Temporary Annuity</vt:lpstr>
      <vt:lpstr>Submission 3 Grading Points</vt:lpstr>
      <vt:lpstr>Part 11 - Whole Life Reserve</vt:lpstr>
      <vt:lpstr>Part 12 - Term Life Reserve</vt:lpstr>
      <vt:lpstr>Part 13 - Gross Reserves</vt:lpstr>
      <vt:lpstr>Submission 4 Grading Points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Breanne Richins</dc:creator>
  <cp:lastModifiedBy>Microsoft Office User</cp:lastModifiedBy>
  <dcterms:created xsi:type="dcterms:W3CDTF">2016-08-11T19:34:30Z</dcterms:created>
  <dcterms:modified xsi:type="dcterms:W3CDTF">2018-01-31T01:47:44Z</dcterms:modified>
</cp:coreProperties>
</file>